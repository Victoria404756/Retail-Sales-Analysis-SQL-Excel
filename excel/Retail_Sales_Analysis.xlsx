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29A63246-BB8A-4B52-A251-E351A14FD037}" xr6:coauthVersionLast="47" xr6:coauthVersionMax="47" xr10:uidLastSave="{00000000-0000-0000-0000-000000000000}"/>
  <bookViews>
    <workbookView xWindow="240" yWindow="105" windowWidth="14805" windowHeight="8010" activeTab="8" xr2:uid="{00000000-000D-0000-FFFF-FFFF00000000}"/>
  </bookViews>
  <sheets>
    <sheet name="KPI Summary" sheetId="1" r:id="rId1"/>
    <sheet name="Category Analysis" sheetId="2" r:id="rId2"/>
    <sheet name="Segment Analysis" sheetId="3" r:id="rId3"/>
    <sheet name="Monthly Trend" sheetId="4" r:id="rId4"/>
    <sheet name="Regional Analysis" sheetId="5" r:id="rId5"/>
    <sheet name="State Profitability" sheetId="6" r:id="rId6"/>
    <sheet name="Top Products" sheetId="7" r:id="rId7"/>
    <sheet name="Loss-Making Products" sheetId="8" r:id="rId8"/>
    <sheet name="Executive Summary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" l="1"/>
  <c r="E10" i="9"/>
  <c r="E7" i="9"/>
  <c r="E4" i="9"/>
  <c r="B10" i="9"/>
  <c r="B7" i="9"/>
</calcChain>
</file>

<file path=xl/sharedStrings.xml><?xml version="1.0" encoding="utf-8"?>
<sst xmlns="http://schemas.openxmlformats.org/spreadsheetml/2006/main" count="266" uniqueCount="128">
  <si>
    <t>total_sales</t>
  </si>
  <si>
    <t>total_profit</t>
  </si>
  <si>
    <t>profit_margin_percent</t>
  </si>
  <si>
    <t>total_orders</t>
  </si>
  <si>
    <t>total_customers</t>
  </si>
  <si>
    <t>average_order_value</t>
  </si>
  <si>
    <t>category</t>
  </si>
  <si>
    <t>Technology</t>
  </si>
  <si>
    <t>Furniture</t>
  </si>
  <si>
    <t>Office Supplies</t>
  </si>
  <si>
    <t>segment</t>
  </si>
  <si>
    <t>Consumer</t>
  </si>
  <si>
    <t>Corporate</t>
  </si>
  <si>
    <t>Home Office</t>
  </si>
  <si>
    <t>sales_month</t>
  </si>
  <si>
    <t>region</t>
  </si>
  <si>
    <t>West</t>
  </si>
  <si>
    <t>East</t>
  </si>
  <si>
    <t>Central</t>
  </si>
  <si>
    <t>South</t>
  </si>
  <si>
    <t>state_province</t>
  </si>
  <si>
    <t>Texas</t>
  </si>
  <si>
    <t>Ohio</t>
  </si>
  <si>
    <t>Pennsylvania</t>
  </si>
  <si>
    <t>Illinois</t>
  </si>
  <si>
    <t>North Carolina</t>
  </si>
  <si>
    <t>Colorado</t>
  </si>
  <si>
    <t>Tennessee</t>
  </si>
  <si>
    <t>Arizona</t>
  </si>
  <si>
    <t>Florida</t>
  </si>
  <si>
    <t>Oregon</t>
  </si>
  <si>
    <t>New Brunswick</t>
  </si>
  <si>
    <t>Nova Scotia</t>
  </si>
  <si>
    <t>Saskatchewan</t>
  </si>
  <si>
    <t>Wyoming</t>
  </si>
  <si>
    <t>British Columbia</t>
  </si>
  <si>
    <t>Manitoba</t>
  </si>
  <si>
    <t>West Virginia</t>
  </si>
  <si>
    <t>Newfoundland and Labrador</t>
  </si>
  <si>
    <t>North Dakota</t>
  </si>
  <si>
    <t>Prince Edward Island</t>
  </si>
  <si>
    <t>South Dakota</t>
  </si>
  <si>
    <t>Maine</t>
  </si>
  <si>
    <t>Idaho</t>
  </si>
  <si>
    <t>Kansas</t>
  </si>
  <si>
    <t>District of Columbia</t>
  </si>
  <si>
    <t>Quebec</t>
  </si>
  <si>
    <t>New Mexico</t>
  </si>
  <si>
    <t>Iowa</t>
  </si>
  <si>
    <t>New Hampshire</t>
  </si>
  <si>
    <t>South Carolina</t>
  </si>
  <si>
    <t>Montana</t>
  </si>
  <si>
    <t>Ontario</t>
  </si>
  <si>
    <t>Nebraska</t>
  </si>
  <si>
    <t>Louisiana</t>
  </si>
  <si>
    <t>Alberta</t>
  </si>
  <si>
    <t>Vermont</t>
  </si>
  <si>
    <t>Utah</t>
  </si>
  <si>
    <t>Mississippi</t>
  </si>
  <si>
    <t>Nevada</t>
  </si>
  <si>
    <t>Connecticut</t>
  </si>
  <si>
    <t>Arkansas</t>
  </si>
  <si>
    <t>Oklahoma</t>
  </si>
  <si>
    <t>Alabama</t>
  </si>
  <si>
    <t>Missouri</t>
  </si>
  <si>
    <t>Massachusetts</t>
  </si>
  <si>
    <t>Maryland</t>
  </si>
  <si>
    <t>Rhode Island</t>
  </si>
  <si>
    <t>Wisconsin</t>
  </si>
  <si>
    <t>New Jersey</t>
  </si>
  <si>
    <t>Delaware</t>
  </si>
  <si>
    <t>Minnesota</t>
  </si>
  <si>
    <t>Kentucky</t>
  </si>
  <si>
    <t>Georgia</t>
  </si>
  <si>
    <t>Indiana</t>
  </si>
  <si>
    <t>Virginia</t>
  </si>
  <si>
    <t>Michigan</t>
  </si>
  <si>
    <t>Washington</t>
  </si>
  <si>
    <t>New York</t>
  </si>
  <si>
    <t>California</t>
  </si>
  <si>
    <t>product_name</t>
  </si>
  <si>
    <t>sub_category</t>
  </si>
  <si>
    <t>Canon imageCLASS 2200 Advanced Copier</t>
  </si>
  <si>
    <t>Copiers</t>
  </si>
  <si>
    <t>Fellowes PB500 Electric Punch Plastic Comb Binding Machine with Manual Bind</t>
  </si>
  <si>
    <t>Binders</t>
  </si>
  <si>
    <t>Cisco TelePresence System EX90 Videoconferencing Unit</t>
  </si>
  <si>
    <t>Machines</t>
  </si>
  <si>
    <t>HON 5400 Series Task Chairs for Big and Tall</t>
  </si>
  <si>
    <t>Chairs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</si>
  <si>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</si>
  <si>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</si>
  <si>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</si>
  <si>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</si>
  <si>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</si>
  <si>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</si>
  <si>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Supplies</t>
  </si>
  <si>
    <t>average_discount_percent</t>
  </si>
  <si>
    <t>Cubify CubeX 3D Printer Double Head Print</t>
  </si>
  <si>
    <t>Lexmark MX611dhe Monochrome Laser Printer</t>
  </si>
  <si>
    <t>Cubify CubeX 3D Printer Triple Head Print</t>
  </si>
  <si>
    <t>Chromcraft Bull-Nose Wood Oval Conference Tables &amp; Bases</t>
  </si>
  <si>
    <t>Tables</t>
  </si>
  <si>
    <t>Bush Advantage Collection Racetrack Conference Table</t>
  </si>
  <si>
    <t>Martin Yale Chadless Opener Electric Letter Opener</t>
  </si>
  <si>
    <t>Balt Solid Wood Round Tables</t>
  </si>
  <si>
    <t>BoxOffice By Design Rectangular and Half-Moon Meeting Room Tables</t>
  </si>
  <si>
    <t>Riverside Furniture Oval Coffee Table, Oval End Table, End Table with Drawer</t>
  </si>
  <si>
    <t>Epson TM-T88V Direct Thermal Printer - Monochrome - Desktop</t>
  </si>
  <si>
    <t>Hon 2090 鈥淧illow Soft鈥?Series Mid Back Swivel/Tilt Chairs</t>
  </si>
  <si>
    <t>O'Sullivan 4-Shelf Bookcase in Odessa Pine</t>
  </si>
  <si>
    <t>Bookcases</t>
  </si>
  <si>
    <t>Bretford 鈥淛ust In Time鈥?Height-Adjustable Multi-Task Work Tables</t>
  </si>
  <si>
    <t>Zebra GK420t Direct Thermal/Thermal Transfer Printer</t>
  </si>
  <si>
    <t>3.6 Cubic Foot Counter Height Office Refrigerator</t>
  </si>
  <si>
    <t>Appliances</t>
  </si>
  <si>
    <t>Bevis Oval Conference Table, Walnut</t>
  </si>
  <si>
    <t>Tennsco Single-Tier Lockers</t>
  </si>
  <si>
    <t>Storage</t>
  </si>
  <si>
    <t>BPI Conference Tables</t>
  </si>
  <si>
    <t>Retail Sales Analysis Report</t>
  </si>
  <si>
    <t>SQL-based business analysis using PostgreSQL and Excel</t>
  </si>
  <si>
    <t>Total Sales</t>
  </si>
  <si>
    <t>Total Profit</t>
  </si>
  <si>
    <t>Profit Margin</t>
  </si>
  <si>
    <t>Total Orders</t>
  </si>
  <si>
    <t>Total Customers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</si>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</sst>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_-[$$-409]* #,##0_ ;_-[$$-409]* \-#,##0\ ;_-[$$-409]* &quot;-&quot;??_ ;_-@_ "/>
  </numFmts>
  <fonts count="6">
    <font>
      <sz val="11"/>
      <color theme="1"/>
      <name val="宋体"/>
      <family val="2"/>
      <scheme val="minor"/>
    </font>
    <font>
      <sz val="11"/>
      <color rgb="FF000000"/>
      <name val="等线"/>
      <family val="2"/>
      <charset val="134"/>
    </font>
    <font>
      <b/>
      <sz val="14"/>
      <color theme="1"/>
      <name val="Calibri"/>
      <scheme val="minor"/>
    </font>
    <font>
      <b/>
      <sz val="20"/>
      <color theme="1"/>
      <name val="Calibri"/>
      <scheme val="minor"/>
    </font>
    <font>
      <sz val="12"/>
      <color rgb="FF525252"/>
      <name val="Calibri"/>
      <scheme val="minor"/>
    </font>
    <font>
      <b/>
      <sz val="20"/>
      <color rgb="FF000000"/>
      <name val="Calibri Light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Border="1" applyAlignment="1"/>
    <xf numFmtId="14" fontId="1" fillId="0" borderId="0" xfId="0" applyNumberFormat="1" applyFont="1" applyBorder="1" applyAlignment="1"/>
    <xf numFmtId="0" fontId="1" fillId="0" borderId="0" xfId="0" applyFont="1" applyBorder="1" applyAlignment="1">
      <alignment wrapText="1"/>
    </xf>
    <xf numFmtId="0" fontId="2" fillId="0" borderId="0" xfId="0" applyFont="1"/>
    <xf numFmtId="0" fontId="4" fillId="0" borderId="0" xfId="0" applyFont="1" applyAlignment="1">
      <alignment horizontal="center" wrapText="1"/>
    </xf>
    <xf numFmtId="0" fontId="2" fillId="2" borderId="1" xfId="0" applyFont="1" applyFill="1" applyBorder="1"/>
    <xf numFmtId="10" fontId="3" fillId="2" borderId="1" xfId="0" quotePrefix="1" applyNumberFormat="1" applyFont="1" applyFill="1" applyBorder="1"/>
    <xf numFmtId="182" fontId="3" fillId="2" borderId="1" xfId="0" quotePrefix="1" applyNumberFormat="1" applyFont="1" applyFill="1" applyBorder="1" applyAlignment="1">
      <alignment horizontal="right" indent="1"/>
    </xf>
    <xf numFmtId="0" fontId="2" fillId="2" borderId="1" xfId="0" applyFont="1" applyFill="1" applyBorder="1" applyAlignment="1">
      <alignment horizontal="left" indent="3"/>
    </xf>
    <xf numFmtId="0" fontId="3" fillId="2" borderId="1" xfId="0" quotePrefix="1" applyFont="1" applyFill="1" applyBorder="1"/>
    <xf numFmtId="0" fontId="0" fillId="2" borderId="1" xfId="0" applyFill="1" applyBorder="1"/>
    <xf numFmtId="182" fontId="3" fillId="2" borderId="1" xfId="0" quotePrefix="1" applyNumberFormat="1" applyFont="1" applyFill="1" applyBorder="1" applyAlignment="1">
      <alignment horizontal="right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numFmt numFmtId="19" formatCode="yyyy/m/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charset val="134"/>
        <scheme val="none"/>
      </font>
      <alignment horizontal="general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'Category Analysis'!$B$2:$B$4</c:f>
              <c:numCache>
                <c:formatCode>General</c:formatCode>
                <c:ptCount val="3"/>
                <c:pt idx="0">
                  <c:v>839893.35</c:v>
                </c:pt>
                <c:pt idx="1">
                  <c:v>754747.94</c:v>
                </c:pt>
                <c:pt idx="2">
                  <c:v>731893.23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E-49F3-8C2D-56BCFA2C0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5781256"/>
        <c:axId val="1601846792"/>
      </c:barChart>
      <c:catAx>
        <c:axId val="1585781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46792"/>
        <c:crosses val="autoZero"/>
        <c:auto val="1"/>
        <c:lblAlgn val="ctr"/>
        <c:lblOffset val="100"/>
        <c:noMultiLvlLbl val="0"/>
      </c:catAx>
      <c:valAx>
        <c:axId val="1601846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781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'Monthly Trend'!$A$2:$A$49</c:f>
              <c:numCache>
                <c:formatCode>m/d/yyyy</c:formatCode>
                <c:ptCount val="48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</c:numCache>
            </c:numRef>
          </c:cat>
          <c:val>
            <c:numRef>
              <c:f>'Monthly Trend'!$B$2:$B$49</c:f>
              <c:numCache>
                <c:formatCode>General</c:formatCode>
                <c:ptCount val="48"/>
                <c:pt idx="0">
                  <c:v>14518.06</c:v>
                </c:pt>
                <c:pt idx="1">
                  <c:v>4519.92</c:v>
                </c:pt>
                <c:pt idx="2">
                  <c:v>56933.94</c:v>
                </c:pt>
                <c:pt idx="3">
                  <c:v>28295.35</c:v>
                </c:pt>
                <c:pt idx="4">
                  <c:v>26319.759999999998</c:v>
                </c:pt>
                <c:pt idx="5">
                  <c:v>34669.49</c:v>
                </c:pt>
                <c:pt idx="6">
                  <c:v>33946.370000000003</c:v>
                </c:pt>
                <c:pt idx="7">
                  <c:v>28918.34</c:v>
                </c:pt>
                <c:pt idx="8">
                  <c:v>82670.42</c:v>
                </c:pt>
                <c:pt idx="9">
                  <c:v>32413.32</c:v>
                </c:pt>
                <c:pt idx="10">
                  <c:v>78826.98</c:v>
                </c:pt>
                <c:pt idx="11">
                  <c:v>72008.320000000007</c:v>
                </c:pt>
                <c:pt idx="12">
                  <c:v>18461.919999999998</c:v>
                </c:pt>
                <c:pt idx="13">
                  <c:v>11951.4</c:v>
                </c:pt>
                <c:pt idx="14">
                  <c:v>39978.639999999999</c:v>
                </c:pt>
                <c:pt idx="15">
                  <c:v>34195.25</c:v>
                </c:pt>
                <c:pt idx="16">
                  <c:v>30246.98</c:v>
                </c:pt>
                <c:pt idx="17">
                  <c:v>24797.31</c:v>
                </c:pt>
                <c:pt idx="18">
                  <c:v>28765.32</c:v>
                </c:pt>
                <c:pt idx="19">
                  <c:v>37056.99</c:v>
                </c:pt>
                <c:pt idx="20">
                  <c:v>64627</c:v>
                </c:pt>
                <c:pt idx="21">
                  <c:v>31407.11</c:v>
                </c:pt>
                <c:pt idx="22">
                  <c:v>75972.509999999995</c:v>
                </c:pt>
                <c:pt idx="23">
                  <c:v>75532.55</c:v>
                </c:pt>
                <c:pt idx="24">
                  <c:v>18830.36</c:v>
                </c:pt>
                <c:pt idx="25">
                  <c:v>22978.82</c:v>
                </c:pt>
                <c:pt idx="26">
                  <c:v>53031.05</c:v>
                </c:pt>
                <c:pt idx="27">
                  <c:v>38829.160000000003</c:v>
                </c:pt>
                <c:pt idx="28">
                  <c:v>57042.86</c:v>
                </c:pt>
                <c:pt idx="29">
                  <c:v>40937.15</c:v>
                </c:pt>
                <c:pt idx="30">
                  <c:v>40300.53</c:v>
                </c:pt>
                <c:pt idx="31">
                  <c:v>31716.79</c:v>
                </c:pt>
                <c:pt idx="32">
                  <c:v>73521.73</c:v>
                </c:pt>
                <c:pt idx="33">
                  <c:v>59831.05</c:v>
                </c:pt>
                <c:pt idx="34">
                  <c:v>79412.03</c:v>
                </c:pt>
                <c:pt idx="35">
                  <c:v>97502.3</c:v>
                </c:pt>
                <c:pt idx="36">
                  <c:v>44259.21</c:v>
                </c:pt>
                <c:pt idx="37">
                  <c:v>20301.12</c:v>
                </c:pt>
                <c:pt idx="38">
                  <c:v>60728.47</c:v>
                </c:pt>
                <c:pt idx="39">
                  <c:v>36779.019999999997</c:v>
                </c:pt>
                <c:pt idx="40">
                  <c:v>45155.45</c:v>
                </c:pt>
                <c:pt idx="41">
                  <c:v>53056.08</c:v>
                </c:pt>
                <c:pt idx="42">
                  <c:v>45989.51</c:v>
                </c:pt>
                <c:pt idx="43">
                  <c:v>64129.72</c:v>
                </c:pt>
                <c:pt idx="44">
                  <c:v>88064.54</c:v>
                </c:pt>
                <c:pt idx="45">
                  <c:v>83474.820000000007</c:v>
                </c:pt>
                <c:pt idx="46">
                  <c:v>118454.49</c:v>
                </c:pt>
                <c:pt idx="47">
                  <c:v>85175.01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8-4A3B-A53C-719BD112E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329672"/>
        <c:axId val="1841331720"/>
      </c:lineChart>
      <c:dateAx>
        <c:axId val="1841329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331720"/>
        <c:crosses val="autoZero"/>
        <c:auto val="1"/>
        <c:lblOffset val="100"/>
        <c:baseTimeUnit val="months"/>
        <c:majorUnit val="6"/>
        <c:minorUnit val="3"/>
      </c:dateAx>
      <c:valAx>
        <c:axId val="184133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329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 Analysis'!$C$1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Analysis'!$A$2:$A$5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'Regional Analysis'!$C$2:$C$5</c:f>
              <c:numCache>
                <c:formatCode>General</c:formatCode>
                <c:ptCount val="4"/>
                <c:pt idx="0">
                  <c:v>110799.15</c:v>
                </c:pt>
                <c:pt idx="1">
                  <c:v>94883.31</c:v>
                </c:pt>
                <c:pt idx="2">
                  <c:v>39865.4</c:v>
                </c:pt>
                <c:pt idx="3">
                  <c:v>46749.71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5-4737-B203-C095E0046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7767048"/>
        <c:axId val="1607769096"/>
      </c:barChart>
      <c:catAx>
        <c:axId val="1607767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69096"/>
        <c:crosses val="autoZero"/>
        <c:auto val="1"/>
        <c:lblAlgn val="ctr"/>
        <c:lblOffset val="100"/>
        <c:noMultiLvlLbl val="0"/>
      </c:catAx>
      <c:valAx>
        <c:axId val="1607769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67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12</xdr:col>
      <xdr:colOff>676275</xdr:colOff>
      <xdr:row>11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E8D515B-0235-40F3-96F5-CAA492F65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6</xdr:col>
      <xdr:colOff>19050</xdr:colOff>
      <xdr:row>26</xdr:row>
      <xdr:rowOff>152400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41E151A-CCB0-44F0-B765-C23EE69B7249}"/>
            </a:ext>
            <a:ext uri="{147F2762-F138-4A5C-976F-8EAC2B608ADB}">
              <a16:predDERef xmlns:a16="http://schemas.microsoft.com/office/drawing/2014/main" pred="{BE8D515B-0235-40F3-96F5-CAA492F65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11</xdr:row>
      <xdr:rowOff>171450</xdr:rowOff>
    </xdr:from>
    <xdr:to>
      <xdr:col>12</xdr:col>
      <xdr:colOff>676275</xdr:colOff>
      <xdr:row>26</xdr:row>
      <xdr:rowOff>76200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9018847-8EB9-4A10-83BA-EC07FE4CCD24}"/>
            </a:ext>
            <a:ext uri="{147F2762-F138-4A5C-976F-8EAC2B608ADB}">
              <a16:predDERef xmlns:a16="http://schemas.microsoft.com/office/drawing/2014/main" pred="{641E151A-CCB0-44F0-B765-C23EE69B7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DDCB13-0171-40FC-B9E7-249A0A83D002}" name="表1" displayName="表1" ref="A1:F2" totalsRowShown="0" headerRowDxfId="55" dataDxfId="54">
  <autoFilter ref="A1:F2" xr:uid="{8EDDCB13-0171-40FC-B9E7-249A0A83D002}"/>
  <tableColumns count="6">
    <tableColumn id="1" xr3:uid="{8D38D876-562B-48D7-8BBA-BFB4841DA233}" name="total_sales" dataDxfId="53"/>
    <tableColumn id="2" xr3:uid="{9B60A65E-6E2F-4471-929D-39746869D183}" name="total_profit" dataDxfId="52"/>
    <tableColumn id="3" xr3:uid="{EA30A782-5332-4F00-AA91-B50518E7F617}" name="profit_margin_percent" dataDxfId="51"/>
    <tableColumn id="4" xr3:uid="{BC441C5D-603A-45D9-9C8D-614710C14024}" name="total_orders" dataDxfId="50"/>
    <tableColumn id="5" xr3:uid="{1A2738DD-8009-45DB-A858-77CD8164B0A8}" name="total_customers" dataDxfId="49"/>
    <tableColumn id="6" xr3:uid="{435F40D5-DA20-484B-98EF-317769BE8D99}" name="average_order_value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FEAA8A-15FC-4D14-9D37-F0DFD1F8CA62}" name="表2" displayName="表2" ref="A1:D4" totalsRowShown="0" headerRowDxfId="47" dataDxfId="46">
  <autoFilter ref="A1:D4" xr:uid="{0EFEAA8A-15FC-4D14-9D37-F0DFD1F8CA62}"/>
  <tableColumns count="4">
    <tableColumn id="1" xr3:uid="{B39C3F67-7482-41E1-A918-91B6D693004D}" name="category" dataDxfId="45"/>
    <tableColumn id="2" xr3:uid="{992D7B27-4145-4CD2-8078-00F59C058B04}" name="total_sales" dataDxfId="44"/>
    <tableColumn id="3" xr3:uid="{55D88281-33C8-4415-A804-B6A2287174E6}" name="total_profit" dataDxfId="43"/>
    <tableColumn id="4" xr3:uid="{545A904D-7B8F-43EE-918D-3B18F634E14C}" name="profit_margin_percent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BD3BC3-EF23-4151-B8A5-F6B499C5D856}" name="表3" displayName="表3" ref="A1:E4" totalsRowShown="0" headerRowDxfId="41" dataDxfId="40">
  <autoFilter ref="A1:E4" xr:uid="{B9BD3BC3-EF23-4151-B8A5-F6B499C5D856}"/>
  <tableColumns count="5">
    <tableColumn id="1" xr3:uid="{27F1F73A-165C-4513-BE53-A52C27C5960B}" name="segment" dataDxfId="39"/>
    <tableColumn id="2" xr3:uid="{2B8910B3-4CAD-4793-863E-D29F76B32143}" name="total_sales" dataDxfId="38"/>
    <tableColumn id="3" xr3:uid="{BE916AF5-F3C6-4D42-967E-D717FE24B6AA}" name="total_profit" dataDxfId="37"/>
    <tableColumn id="4" xr3:uid="{E12400EB-22EC-4A06-994D-E355D298A082}" name="total_customers" dataDxfId="36"/>
    <tableColumn id="5" xr3:uid="{017F7DEE-C46A-4C4C-BF11-75CA0D5BEC83}" name="profit_margin_percent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1198D8-0404-4A5A-9929-3813A3901253}" name="表4" displayName="表4" ref="A1:D49" totalsRowShown="0" headerRowDxfId="34" dataDxfId="33">
  <autoFilter ref="A1:D49" xr:uid="{931198D8-0404-4A5A-9929-3813A3901253}"/>
  <tableColumns count="4">
    <tableColumn id="1" xr3:uid="{06E8FD9D-EA8F-403D-BC0C-0EE9CF7B00F0}" name="sales_month" dataDxfId="32"/>
    <tableColumn id="2" xr3:uid="{1BFD63BE-A978-403D-8910-FDE80799B03A}" name="total_sales" dataDxfId="31"/>
    <tableColumn id="3" xr3:uid="{557D8D26-3F65-44DD-A8B7-A5374A8F590E}" name="total_profit" dataDxfId="30"/>
    <tableColumn id="4" xr3:uid="{3EB6A20A-04DF-4E34-A77E-E26349253462}" name="total_orders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EF7A48-D6F5-468F-857B-B3D7949168DC}" name="表5" displayName="表5" ref="A1:E5" totalsRowShown="0" headerRowDxfId="28" dataDxfId="27">
  <autoFilter ref="A1:E5" xr:uid="{32EF7A48-D6F5-468F-857B-B3D7949168DC}"/>
  <tableColumns count="5">
    <tableColumn id="1" xr3:uid="{D9A5CD44-6650-4E83-A89A-F3744A4216C3}" name="region" dataDxfId="26"/>
    <tableColumn id="2" xr3:uid="{AFD7E4F7-F7A2-46D6-9A6A-44DF50C11AF5}" name="total_sales" dataDxfId="25"/>
    <tableColumn id="3" xr3:uid="{E3264B6C-9A4C-4256-A92E-9EB8C50250B6}" name="total_profit" dataDxfId="24"/>
    <tableColumn id="4" xr3:uid="{5BADD6D1-AF58-4C21-B24A-3297AD96EDBC}" name="profit_margin_percent" dataDxfId="23"/>
    <tableColumn id="5" xr3:uid="{B54DD434-6477-4EB8-A86C-2A234E0043ED}" name="total_orders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A30261-802B-491D-82F0-0233C7400510}" name="表6" displayName="表6" ref="A1:E60" totalsRowShown="0" headerRowDxfId="21" dataDxfId="20">
  <autoFilter ref="A1:E60" xr:uid="{5FA30261-802B-491D-82F0-0233C7400510}"/>
  <tableColumns count="5">
    <tableColumn id="1" xr3:uid="{3832D45A-284F-4C5B-8599-C31DB74D2F3D}" name="state_province" dataDxfId="19"/>
    <tableColumn id="2" xr3:uid="{870D8E0D-CAE6-454F-89D3-1E10CB6B0424}" name="region" dataDxfId="18"/>
    <tableColumn id="3" xr3:uid="{3A612864-B02F-41E5-9CA9-08FE9F7B4F1C}" name="total_sales" dataDxfId="17"/>
    <tableColumn id="4" xr3:uid="{1F273FB3-0AF8-4725-B0A6-CC9B905FC6DB}" name="total_profit" dataDxfId="16"/>
    <tableColumn id="5" xr3:uid="{9A66550E-682D-4AAE-9B96-7B99D69CE947}" name="profit_margin_percent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3D1B76-B1B1-4714-91FB-54EA336D4181}" name="表7" displayName="表7" ref="A1:E11" totalsRowShown="0" headerRowDxfId="14" dataDxfId="13">
  <autoFilter ref="A1:E11" xr:uid="{473D1B76-B1B1-4714-91FB-54EA336D4181}"/>
  <tableColumns count="5">
    <tableColumn id="1" xr3:uid="{CEC4EA19-B326-482D-AE2B-D9A225C906C4}" name="product_name" dataDxfId="12"/>
    <tableColumn id="2" xr3:uid="{02D73165-B6F0-4B5C-B82D-07A4EB72DC26}" name="category" dataDxfId="11"/>
    <tableColumn id="3" xr3:uid="{1893E75C-4DA0-4CA4-84FC-2F065BEE3550}" name="sub_category" dataDxfId="10"/>
    <tableColumn id="4" xr3:uid="{24B35FBA-93A8-44CF-B99D-79BA042B51C1}" name="total_sales" dataDxfId="9"/>
    <tableColumn id="5" xr3:uid="{FC449B9F-9FFD-48BC-A6E8-5A0D612E4DD8}" name="total_profit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73CD75E-92D1-4070-BA0C-6687478458F5}" name="表8" displayName="表8" ref="A1:F21" totalsRowShown="0" headerRowDxfId="7" dataDxfId="6">
  <autoFilter ref="A1:F21" xr:uid="{273CD75E-92D1-4070-BA0C-6687478458F5}"/>
  <tableColumns count="6">
    <tableColumn id="1" xr3:uid="{991FDFB5-B9B9-4301-B712-C09DCFF2884D}" name="product_name" dataDxfId="5"/>
    <tableColumn id="2" xr3:uid="{56FF2906-E66E-4AF5-B4D3-DD6DC8978ED7}" name="category" dataDxfId="4"/>
    <tableColumn id="3" xr3:uid="{58889C53-F65F-42ED-ABF3-EB52426EB9FA}" name="sub_category" dataDxfId="3"/>
    <tableColumn id="4" xr3:uid="{7DA77DF0-26EF-4904-B164-AC9A29C3103C}" name="total_sales" dataDxfId="2"/>
    <tableColumn id="5" xr3:uid="{B27B3D95-2313-4B02-8EC5-E52ACDF7360D}" name="total_profit" dataDxfId="1"/>
    <tableColumn id="6" xr3:uid="{DFC67917-1CFB-40B6-A87E-D2D3D906603C}" name="average_discount_perc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sqref="A1:F2"/>
    </sheetView>
  </sheetViews>
  <sheetFormatPr defaultRowHeight="13.5"/>
  <cols>
    <col min="1" max="1" width="13.75" bestFit="1" customWidth="1"/>
    <col min="2" max="2" width="14.75" bestFit="1" customWidth="1"/>
    <col min="3" max="3" width="23.5" bestFit="1" customWidth="1"/>
    <col min="4" max="4" width="14.75" bestFit="1" customWidth="1"/>
    <col min="5" max="5" width="17.625" bestFit="1" customWidth="1"/>
    <col min="6" max="6" width="21.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2326534.52</v>
      </c>
      <c r="B2" s="1">
        <v>292297.57</v>
      </c>
      <c r="C2" s="1">
        <v>12.56</v>
      </c>
      <c r="D2" s="1">
        <v>5111</v>
      </c>
      <c r="E2" s="1">
        <v>804</v>
      </c>
      <c r="F2" s="1">
        <v>455.2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49FB-C48D-4D22-8BC8-7CB4934F4CFA}">
  <dimension ref="A1:D4"/>
  <sheetViews>
    <sheetView workbookViewId="0">
      <selection sqref="A1:B1048576"/>
    </sheetView>
  </sheetViews>
  <sheetFormatPr defaultRowHeight="13.5"/>
  <cols>
    <col min="1" max="1" width="12.75" bestFit="1" customWidth="1"/>
    <col min="2" max="2" width="11.5" bestFit="1" customWidth="1"/>
    <col min="3" max="3" width="12.25" bestFit="1" customWidth="1"/>
    <col min="4" max="4" width="21.625" bestFit="1" customWidth="1"/>
  </cols>
  <sheetData>
    <row r="1" spans="1:4" ht="14.25">
      <c r="A1" s="2" t="s">
        <v>6</v>
      </c>
      <c r="B1" s="2" t="s">
        <v>0</v>
      </c>
      <c r="C1" s="2" t="s">
        <v>1</v>
      </c>
      <c r="D1" s="2" t="s">
        <v>2</v>
      </c>
    </row>
    <row r="2" spans="1:4" ht="14.25">
      <c r="A2" s="2" t="s">
        <v>7</v>
      </c>
      <c r="B2" s="2">
        <v>839893.35</v>
      </c>
      <c r="C2" s="2">
        <v>146544.09</v>
      </c>
      <c r="D2" s="2">
        <v>17.45</v>
      </c>
    </row>
    <row r="3" spans="1:4" ht="14.25">
      <c r="A3" s="2" t="s">
        <v>8</v>
      </c>
      <c r="B3" s="2">
        <v>754747.94</v>
      </c>
      <c r="C3" s="2">
        <v>19729.939999999999</v>
      </c>
      <c r="D3" s="2">
        <v>2.61</v>
      </c>
    </row>
    <row r="4" spans="1:4" ht="14.25">
      <c r="A4" s="2" t="s">
        <v>9</v>
      </c>
      <c r="B4" s="2">
        <v>731893.23</v>
      </c>
      <c r="C4" s="2">
        <v>126023.54</v>
      </c>
      <c r="D4" s="2">
        <v>17.22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590F-17C4-4D5A-B58B-12E0D9240234}">
  <dimension ref="A1:E4"/>
  <sheetViews>
    <sheetView workbookViewId="0">
      <selection sqref="A1:E4"/>
    </sheetView>
  </sheetViews>
  <sheetFormatPr defaultRowHeight="13.5"/>
  <cols>
    <col min="1" max="1" width="10.875" bestFit="1" customWidth="1"/>
    <col min="2" max="2" width="11.5" bestFit="1" customWidth="1"/>
    <col min="3" max="3" width="12.25" bestFit="1" customWidth="1"/>
    <col min="4" max="4" width="16.25" bestFit="1" customWidth="1"/>
    <col min="5" max="5" width="21.625" bestFit="1" customWidth="1"/>
  </cols>
  <sheetData>
    <row r="1" spans="1:5" ht="14.25">
      <c r="A1" s="2" t="s">
        <v>10</v>
      </c>
      <c r="B1" s="2" t="s">
        <v>0</v>
      </c>
      <c r="C1" s="2" t="s">
        <v>1</v>
      </c>
      <c r="D1" s="2" t="s">
        <v>4</v>
      </c>
      <c r="E1" s="2" t="s">
        <v>2</v>
      </c>
    </row>
    <row r="2" spans="1:5" ht="14.25">
      <c r="A2" s="2" t="s">
        <v>11</v>
      </c>
      <c r="B2" s="2">
        <v>1170659.75</v>
      </c>
      <c r="C2" s="2">
        <v>136371.57999999999</v>
      </c>
      <c r="D2" s="2">
        <v>416</v>
      </c>
      <c r="E2" s="2">
        <v>11.65</v>
      </c>
    </row>
    <row r="3" spans="1:5" ht="14.25">
      <c r="A3" s="2" t="s">
        <v>12</v>
      </c>
      <c r="B3" s="2">
        <v>715806.2</v>
      </c>
      <c r="C3" s="2">
        <v>94249.91</v>
      </c>
      <c r="D3" s="2">
        <v>239</v>
      </c>
      <c r="E3" s="2">
        <v>13.17</v>
      </c>
    </row>
    <row r="4" spans="1:5" ht="14.25">
      <c r="A4" s="2" t="s">
        <v>13</v>
      </c>
      <c r="B4" s="2">
        <v>440068.57</v>
      </c>
      <c r="C4" s="2">
        <v>61676.08</v>
      </c>
      <c r="D4" s="2">
        <v>149</v>
      </c>
      <c r="E4" s="2">
        <v>14.02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F3DF-EC5F-4330-A7AF-7C566996B6E1}">
  <dimension ref="A1:D49"/>
  <sheetViews>
    <sheetView workbookViewId="0">
      <selection sqref="A1:B1048576"/>
    </sheetView>
  </sheetViews>
  <sheetFormatPr defaultRowHeight="13.5"/>
  <cols>
    <col min="1" max="1" width="13.25" bestFit="1" customWidth="1"/>
    <col min="2" max="2" width="11.5" bestFit="1" customWidth="1"/>
    <col min="3" max="3" width="12.25" bestFit="1" customWidth="1"/>
    <col min="4" max="4" width="12.875" bestFit="1" customWidth="1"/>
  </cols>
  <sheetData>
    <row r="1" spans="1:4" ht="14.25">
      <c r="A1" s="2" t="s">
        <v>14</v>
      </c>
      <c r="B1" s="2" t="s">
        <v>0</v>
      </c>
      <c r="C1" s="2" t="s">
        <v>1</v>
      </c>
      <c r="D1" s="2" t="s">
        <v>3</v>
      </c>
    </row>
    <row r="2" spans="1:4" ht="14.25">
      <c r="A2" s="3">
        <v>44927</v>
      </c>
      <c r="B2" s="2">
        <v>14518.06</v>
      </c>
      <c r="C2" s="2">
        <v>2539.38</v>
      </c>
      <c r="D2" s="2">
        <v>33</v>
      </c>
    </row>
    <row r="3" spans="1:4" ht="14.25">
      <c r="A3" s="3">
        <v>44958</v>
      </c>
      <c r="B3" s="2">
        <v>4519.92</v>
      </c>
      <c r="C3" s="2">
        <v>862.3</v>
      </c>
      <c r="D3" s="2">
        <v>28</v>
      </c>
    </row>
    <row r="4" spans="1:4" ht="14.25">
      <c r="A4" s="3">
        <v>44986</v>
      </c>
      <c r="B4" s="2">
        <v>56933.94</v>
      </c>
      <c r="C4" s="2">
        <v>693.44</v>
      </c>
      <c r="D4" s="2">
        <v>72</v>
      </c>
    </row>
    <row r="5" spans="1:4" ht="14.25">
      <c r="A5" s="3">
        <v>45017</v>
      </c>
      <c r="B5" s="2">
        <v>28295.35</v>
      </c>
      <c r="C5" s="2">
        <v>3488.86</v>
      </c>
      <c r="D5" s="2">
        <v>66</v>
      </c>
    </row>
    <row r="6" spans="1:4" ht="14.25">
      <c r="A6" s="3">
        <v>45047</v>
      </c>
      <c r="B6" s="2">
        <v>26319.759999999998</v>
      </c>
      <c r="C6" s="2">
        <v>3196.43</v>
      </c>
      <c r="D6" s="2">
        <v>72</v>
      </c>
    </row>
    <row r="7" spans="1:4" ht="14.25">
      <c r="A7" s="3">
        <v>45078</v>
      </c>
      <c r="B7" s="2">
        <v>34669.49</v>
      </c>
      <c r="C7" s="2">
        <v>4999.8</v>
      </c>
      <c r="D7" s="2">
        <v>67</v>
      </c>
    </row>
    <row r="8" spans="1:4" ht="14.25">
      <c r="A8" s="3">
        <v>45108</v>
      </c>
      <c r="B8" s="2">
        <v>33946.370000000003</v>
      </c>
      <c r="C8" s="2">
        <v>-841.46</v>
      </c>
      <c r="D8" s="2">
        <v>65</v>
      </c>
    </row>
    <row r="9" spans="1:4" ht="14.25">
      <c r="A9" s="3">
        <v>45139</v>
      </c>
      <c r="B9" s="2">
        <v>28918.34</v>
      </c>
      <c r="C9" s="2">
        <v>5765.23</v>
      </c>
      <c r="D9" s="2">
        <v>75</v>
      </c>
    </row>
    <row r="10" spans="1:4" ht="14.25">
      <c r="A10" s="3">
        <v>45170</v>
      </c>
      <c r="B10" s="2">
        <v>82670.42</v>
      </c>
      <c r="C10" s="2">
        <v>8593.61</v>
      </c>
      <c r="D10" s="2">
        <v>134</v>
      </c>
    </row>
    <row r="11" spans="1:4" ht="14.25">
      <c r="A11" s="3">
        <v>45200</v>
      </c>
      <c r="B11" s="2">
        <v>32413.32</v>
      </c>
      <c r="C11" s="2">
        <v>3469.15</v>
      </c>
      <c r="D11" s="2">
        <v>81</v>
      </c>
    </row>
    <row r="12" spans="1:4" ht="14.25">
      <c r="A12" s="3">
        <v>45231</v>
      </c>
      <c r="B12" s="2">
        <v>78826.98</v>
      </c>
      <c r="C12" s="2">
        <v>9362.9699999999993</v>
      </c>
      <c r="D12" s="2">
        <v>152</v>
      </c>
    </row>
    <row r="13" spans="1:4" ht="14.25">
      <c r="A13" s="3">
        <v>45261</v>
      </c>
      <c r="B13" s="2">
        <v>72008.320000000007</v>
      </c>
      <c r="C13" s="2">
        <v>9554.67</v>
      </c>
      <c r="D13" s="2">
        <v>150</v>
      </c>
    </row>
    <row r="14" spans="1:4" ht="14.25">
      <c r="A14" s="3">
        <v>45292</v>
      </c>
      <c r="B14" s="2">
        <v>18461.919999999998</v>
      </c>
      <c r="C14" s="2">
        <v>-3189.77</v>
      </c>
      <c r="D14" s="2">
        <v>31</v>
      </c>
    </row>
    <row r="15" spans="1:4" ht="14.25">
      <c r="A15" s="3">
        <v>45323</v>
      </c>
      <c r="B15" s="2">
        <v>11951.4</v>
      </c>
      <c r="C15" s="2">
        <v>2813.84</v>
      </c>
      <c r="D15" s="2">
        <v>36</v>
      </c>
    </row>
    <row r="16" spans="1:4" ht="14.25">
      <c r="A16" s="3">
        <v>45352</v>
      </c>
      <c r="B16" s="2">
        <v>39978.639999999999</v>
      </c>
      <c r="C16" s="2">
        <v>9930.58</v>
      </c>
      <c r="D16" s="2">
        <v>81</v>
      </c>
    </row>
    <row r="17" spans="1:4" ht="14.25">
      <c r="A17" s="3">
        <v>45383</v>
      </c>
      <c r="B17" s="2">
        <v>34195.25</v>
      </c>
      <c r="C17" s="2">
        <v>4187.53</v>
      </c>
      <c r="D17" s="2">
        <v>72</v>
      </c>
    </row>
    <row r="18" spans="1:4" ht="14.25">
      <c r="A18" s="3">
        <v>45413</v>
      </c>
      <c r="B18" s="2">
        <v>30246.98</v>
      </c>
      <c r="C18" s="2">
        <v>4677.09</v>
      </c>
      <c r="D18" s="2">
        <v>75</v>
      </c>
    </row>
    <row r="19" spans="1:4" ht="14.25">
      <c r="A19" s="3">
        <v>45444</v>
      </c>
      <c r="B19" s="2">
        <v>24797.31</v>
      </c>
      <c r="C19" s="2">
        <v>3335.56</v>
      </c>
      <c r="D19" s="2">
        <v>68</v>
      </c>
    </row>
    <row r="20" spans="1:4" ht="14.25">
      <c r="A20" s="3">
        <v>45474</v>
      </c>
      <c r="B20" s="2">
        <v>28765.32</v>
      </c>
      <c r="C20" s="2">
        <v>3288.71</v>
      </c>
      <c r="D20" s="2">
        <v>66</v>
      </c>
    </row>
    <row r="21" spans="1:4" ht="14.25">
      <c r="A21" s="3">
        <v>45505</v>
      </c>
      <c r="B21" s="2">
        <v>37056.99</v>
      </c>
      <c r="C21" s="2">
        <v>5371.64</v>
      </c>
      <c r="D21" s="2">
        <v>69</v>
      </c>
    </row>
    <row r="22" spans="1:4" ht="14.25">
      <c r="A22" s="3">
        <v>45536</v>
      </c>
      <c r="B22" s="2">
        <v>64627</v>
      </c>
      <c r="C22" s="2">
        <v>8220.0300000000007</v>
      </c>
      <c r="D22" s="2">
        <v>142</v>
      </c>
    </row>
    <row r="23" spans="1:4" ht="14.25">
      <c r="A23" s="3">
        <v>45566</v>
      </c>
      <c r="B23" s="2">
        <v>31407.11</v>
      </c>
      <c r="C23" s="2">
        <v>2817.97</v>
      </c>
      <c r="D23" s="2">
        <v>88</v>
      </c>
    </row>
    <row r="24" spans="1:4" ht="14.25">
      <c r="A24" s="3">
        <v>45597</v>
      </c>
      <c r="B24" s="2">
        <v>75972.509999999995</v>
      </c>
      <c r="C24" s="2">
        <v>12474.8</v>
      </c>
      <c r="D24" s="2">
        <v>158</v>
      </c>
    </row>
    <row r="25" spans="1:4" ht="14.25">
      <c r="A25" s="3">
        <v>45627</v>
      </c>
      <c r="B25" s="2">
        <v>75532.55</v>
      </c>
      <c r="C25" s="2">
        <v>8093.05</v>
      </c>
      <c r="D25" s="2">
        <v>167</v>
      </c>
    </row>
    <row r="26" spans="1:4" ht="14.25">
      <c r="A26" s="3">
        <v>45658</v>
      </c>
      <c r="B26" s="2">
        <v>18830.36</v>
      </c>
      <c r="C26" s="2">
        <v>2916.02</v>
      </c>
      <c r="D26" s="2">
        <v>50</v>
      </c>
    </row>
    <row r="27" spans="1:4" ht="14.25">
      <c r="A27" s="3">
        <v>45689</v>
      </c>
      <c r="B27" s="2">
        <v>22978.82</v>
      </c>
      <c r="C27" s="2">
        <v>5004.59</v>
      </c>
      <c r="D27" s="2">
        <v>45</v>
      </c>
    </row>
    <row r="28" spans="1:4" ht="14.25">
      <c r="A28" s="3">
        <v>45717</v>
      </c>
      <c r="B28" s="2">
        <v>53031.05</v>
      </c>
      <c r="C28" s="2">
        <v>3707.9</v>
      </c>
      <c r="D28" s="2">
        <v>88</v>
      </c>
    </row>
    <row r="29" spans="1:4" ht="14.25">
      <c r="A29" s="3">
        <v>45748</v>
      </c>
      <c r="B29" s="2">
        <v>38829.160000000003</v>
      </c>
      <c r="C29" s="2">
        <v>2991.73</v>
      </c>
      <c r="D29" s="2">
        <v>90</v>
      </c>
    </row>
    <row r="30" spans="1:4" ht="14.25">
      <c r="A30" s="3">
        <v>45778</v>
      </c>
      <c r="B30" s="2">
        <v>57042.86</v>
      </c>
      <c r="C30" s="2">
        <v>8676.64</v>
      </c>
      <c r="D30" s="2">
        <v>109</v>
      </c>
    </row>
    <row r="31" spans="1:4" ht="14.25">
      <c r="A31" s="3">
        <v>45809</v>
      </c>
      <c r="B31" s="2">
        <v>40937.15</v>
      </c>
      <c r="C31" s="2">
        <v>4926.2700000000004</v>
      </c>
      <c r="D31" s="2">
        <v>100</v>
      </c>
    </row>
    <row r="32" spans="1:4" ht="14.25">
      <c r="A32" s="3">
        <v>45839</v>
      </c>
      <c r="B32" s="2">
        <v>40300.53</v>
      </c>
      <c r="C32" s="2">
        <v>4559.91</v>
      </c>
      <c r="D32" s="2">
        <v>97</v>
      </c>
    </row>
    <row r="33" spans="1:4" ht="14.25">
      <c r="A33" s="3">
        <v>45870</v>
      </c>
      <c r="B33" s="2">
        <v>31716.79</v>
      </c>
      <c r="C33" s="2">
        <v>2317.48</v>
      </c>
      <c r="D33" s="2">
        <v>91</v>
      </c>
    </row>
    <row r="34" spans="1:4" ht="14.25">
      <c r="A34" s="3">
        <v>45901</v>
      </c>
      <c r="B34" s="2">
        <v>73521.73</v>
      </c>
      <c r="C34" s="2">
        <v>9370.1299999999992</v>
      </c>
      <c r="D34" s="2">
        <v>195</v>
      </c>
    </row>
    <row r="35" spans="1:4" ht="14.25">
      <c r="A35" s="3">
        <v>45931</v>
      </c>
      <c r="B35" s="2">
        <v>59831.05</v>
      </c>
      <c r="C35" s="2">
        <v>16256.92</v>
      </c>
      <c r="D35" s="2">
        <v>107</v>
      </c>
    </row>
    <row r="36" spans="1:4" ht="14.25">
      <c r="A36" s="3">
        <v>45962</v>
      </c>
      <c r="B36" s="2">
        <v>79412.03</v>
      </c>
      <c r="C36" s="2">
        <v>4011.45</v>
      </c>
      <c r="D36" s="2">
        <v>183</v>
      </c>
    </row>
    <row r="37" spans="1:4" ht="14.25">
      <c r="A37" s="3">
        <v>45992</v>
      </c>
      <c r="B37" s="2">
        <v>97502.3</v>
      </c>
      <c r="C37" s="2">
        <v>17926.27</v>
      </c>
      <c r="D37" s="2">
        <v>185</v>
      </c>
    </row>
    <row r="38" spans="1:4" ht="14.25">
      <c r="A38" s="3">
        <v>46023</v>
      </c>
      <c r="B38" s="2">
        <v>44259.21</v>
      </c>
      <c r="C38" s="2">
        <v>7231.65</v>
      </c>
      <c r="D38" s="2">
        <v>71</v>
      </c>
    </row>
    <row r="39" spans="1:4" ht="14.25">
      <c r="A39" s="3">
        <v>46054</v>
      </c>
      <c r="B39" s="2">
        <v>20301.12</v>
      </c>
      <c r="C39" s="2">
        <v>1613.89</v>
      </c>
      <c r="D39" s="2">
        <v>53</v>
      </c>
    </row>
    <row r="40" spans="1:4" ht="14.25">
      <c r="A40" s="3">
        <v>46082</v>
      </c>
      <c r="B40" s="2">
        <v>60728.47</v>
      </c>
      <c r="C40" s="2">
        <v>15013.07</v>
      </c>
      <c r="D40" s="2">
        <v>121</v>
      </c>
    </row>
    <row r="41" spans="1:4" ht="14.25">
      <c r="A41" s="3">
        <v>46113</v>
      </c>
      <c r="B41" s="2">
        <v>36779.019999999997</v>
      </c>
      <c r="C41" s="2">
        <v>957.54</v>
      </c>
      <c r="D41" s="2">
        <v>117</v>
      </c>
    </row>
    <row r="42" spans="1:4" ht="14.25">
      <c r="A42" s="3">
        <v>46143</v>
      </c>
      <c r="B42" s="2">
        <v>45155.45</v>
      </c>
      <c r="C42" s="2">
        <v>6299.92</v>
      </c>
      <c r="D42" s="2">
        <v>121</v>
      </c>
    </row>
    <row r="43" spans="1:4" ht="14.25">
      <c r="A43" s="3">
        <v>46174</v>
      </c>
      <c r="B43" s="2">
        <v>53056.08</v>
      </c>
      <c r="C43" s="2">
        <v>8246.66</v>
      </c>
      <c r="D43" s="2">
        <v>134</v>
      </c>
    </row>
    <row r="44" spans="1:4" ht="14.25">
      <c r="A44" s="3">
        <v>46204</v>
      </c>
      <c r="B44" s="2">
        <v>45989.51</v>
      </c>
      <c r="C44" s="2">
        <v>7006.48</v>
      </c>
      <c r="D44" s="2">
        <v>112</v>
      </c>
    </row>
    <row r="45" spans="1:4" ht="14.25">
      <c r="A45" s="3">
        <v>46235</v>
      </c>
      <c r="B45" s="2">
        <v>64129.72</v>
      </c>
      <c r="C45" s="2">
        <v>9488.2099999999991</v>
      </c>
      <c r="D45" s="2">
        <v>114</v>
      </c>
    </row>
    <row r="46" spans="1:4" ht="14.25">
      <c r="A46" s="3">
        <v>46266</v>
      </c>
      <c r="B46" s="2">
        <v>88064.54</v>
      </c>
      <c r="C46" s="2">
        <v>11050.82</v>
      </c>
      <c r="D46" s="2">
        <v>231</v>
      </c>
    </row>
    <row r="47" spans="1:4" ht="14.25">
      <c r="A47" s="3">
        <v>46296</v>
      </c>
      <c r="B47" s="2">
        <v>83474.820000000007</v>
      </c>
      <c r="C47" s="2">
        <v>10670.63</v>
      </c>
      <c r="D47" s="2">
        <v>151</v>
      </c>
    </row>
    <row r="48" spans="1:4" ht="14.25">
      <c r="A48" s="3">
        <v>46327</v>
      </c>
      <c r="B48" s="2">
        <v>118454.49</v>
      </c>
      <c r="C48" s="2">
        <v>9692.1</v>
      </c>
      <c r="D48" s="2">
        <v>262</v>
      </c>
    </row>
    <row r="49" spans="1:4" ht="14.25">
      <c r="A49" s="3">
        <v>46357</v>
      </c>
      <c r="B49" s="2">
        <v>85175.01</v>
      </c>
      <c r="C49" s="2">
        <v>8655.8799999999992</v>
      </c>
      <c r="D49" s="2">
        <v>236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F316-3B67-4D01-8D63-3E0117119A58}">
  <dimension ref="A1:E5"/>
  <sheetViews>
    <sheetView workbookViewId="0">
      <selection sqref="A1:A1048576"/>
    </sheetView>
  </sheetViews>
  <sheetFormatPr defaultRowHeight="13.5"/>
  <cols>
    <col min="2" max="2" width="11.5" bestFit="1" customWidth="1"/>
    <col min="3" max="3" width="12.25" bestFit="1" customWidth="1"/>
    <col min="4" max="4" width="21.625" bestFit="1" customWidth="1"/>
    <col min="5" max="5" width="12.875" bestFit="1" customWidth="1"/>
  </cols>
  <sheetData>
    <row r="1" spans="1:5" ht="14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14.25">
      <c r="A2" s="2" t="s">
        <v>16</v>
      </c>
      <c r="B2" s="2">
        <v>739813.71</v>
      </c>
      <c r="C2" s="2">
        <v>110799.15</v>
      </c>
      <c r="D2" s="2">
        <v>14.98</v>
      </c>
      <c r="E2" s="2">
        <v>1635</v>
      </c>
    </row>
    <row r="3" spans="1:5" ht="14.25">
      <c r="A3" s="2" t="s">
        <v>17</v>
      </c>
      <c r="B3" s="2">
        <v>691828.25</v>
      </c>
      <c r="C3" s="2">
        <v>94883.31</v>
      </c>
      <c r="D3" s="2">
        <v>13.71</v>
      </c>
      <c r="E3" s="2">
        <v>1475</v>
      </c>
    </row>
    <row r="4" spans="1:5" ht="14.25">
      <c r="A4" s="2" t="s">
        <v>18</v>
      </c>
      <c r="B4" s="2">
        <v>503170.66</v>
      </c>
      <c r="C4" s="2">
        <v>39865.4</v>
      </c>
      <c r="D4" s="2">
        <v>7.92</v>
      </c>
      <c r="E4" s="2">
        <v>1179</v>
      </c>
    </row>
    <row r="5" spans="1:5" ht="14.25">
      <c r="A5" s="2" t="s">
        <v>19</v>
      </c>
      <c r="B5" s="2">
        <v>391721.9</v>
      </c>
      <c r="C5" s="2">
        <v>46749.71</v>
      </c>
      <c r="D5" s="2">
        <v>11.93</v>
      </c>
      <c r="E5" s="2">
        <v>822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124A-3E1C-4281-9CD9-B1ED3E90F198}">
  <dimension ref="A1:E60"/>
  <sheetViews>
    <sheetView workbookViewId="0">
      <selection sqref="A1:E60"/>
    </sheetView>
  </sheetViews>
  <sheetFormatPr defaultRowHeight="13.5"/>
  <cols>
    <col min="1" max="1" width="24" bestFit="1" customWidth="1"/>
    <col min="3" max="3" width="11.5" bestFit="1" customWidth="1"/>
    <col min="4" max="4" width="12.25" bestFit="1" customWidth="1"/>
    <col min="5" max="5" width="21.625" bestFit="1" customWidth="1"/>
  </cols>
  <sheetData>
    <row r="1" spans="1:5" ht="14.25">
      <c r="A1" s="2" t="s">
        <v>20</v>
      </c>
      <c r="B1" s="2" t="s">
        <v>15</v>
      </c>
      <c r="C1" s="2" t="s">
        <v>0</v>
      </c>
      <c r="D1" s="2" t="s">
        <v>1</v>
      </c>
      <c r="E1" s="2" t="s">
        <v>2</v>
      </c>
    </row>
    <row r="2" spans="1:5" ht="14.25">
      <c r="A2" s="2" t="s">
        <v>21</v>
      </c>
      <c r="B2" s="2" t="s">
        <v>18</v>
      </c>
      <c r="C2" s="2">
        <v>170187.98</v>
      </c>
      <c r="D2" s="2">
        <v>-25729.29</v>
      </c>
      <c r="E2" s="2">
        <v>-15.12</v>
      </c>
    </row>
    <row r="3" spans="1:5" ht="14.25">
      <c r="A3" s="2" t="s">
        <v>22</v>
      </c>
      <c r="B3" s="2" t="s">
        <v>17</v>
      </c>
      <c r="C3" s="2">
        <v>78258.210000000006</v>
      </c>
      <c r="D3" s="2">
        <v>-16971.37</v>
      </c>
      <c r="E3" s="2">
        <v>-21.69</v>
      </c>
    </row>
    <row r="4" spans="1:5" ht="14.25">
      <c r="A4" s="2" t="s">
        <v>23</v>
      </c>
      <c r="B4" s="2" t="s">
        <v>17</v>
      </c>
      <c r="C4" s="2">
        <v>116512.02</v>
      </c>
      <c r="D4" s="2">
        <v>-15560.04</v>
      </c>
      <c r="E4" s="2">
        <v>-13.35</v>
      </c>
    </row>
    <row r="5" spans="1:5" ht="14.25">
      <c r="A5" s="2" t="s">
        <v>24</v>
      </c>
      <c r="B5" s="2" t="s">
        <v>18</v>
      </c>
      <c r="C5" s="2">
        <v>80166.16</v>
      </c>
      <c r="D5" s="2">
        <v>-12607.89</v>
      </c>
      <c r="E5" s="2">
        <v>-15.73</v>
      </c>
    </row>
    <row r="6" spans="1:5" ht="14.25">
      <c r="A6" s="2" t="s">
        <v>25</v>
      </c>
      <c r="B6" s="2" t="s">
        <v>19</v>
      </c>
      <c r="C6" s="2">
        <v>55603.09</v>
      </c>
      <c r="D6" s="2">
        <v>-7490.81</v>
      </c>
      <c r="E6" s="2">
        <v>-13.47</v>
      </c>
    </row>
    <row r="7" spans="1:5" ht="14.25">
      <c r="A7" s="2" t="s">
        <v>26</v>
      </c>
      <c r="B7" s="2" t="s">
        <v>16</v>
      </c>
      <c r="C7" s="2">
        <v>32108.12</v>
      </c>
      <c r="D7" s="2">
        <v>-6527.86</v>
      </c>
      <c r="E7" s="2">
        <v>-20.329999999999998</v>
      </c>
    </row>
    <row r="8" spans="1:5" ht="14.25">
      <c r="A8" s="2" t="s">
        <v>27</v>
      </c>
      <c r="B8" s="2" t="s">
        <v>19</v>
      </c>
      <c r="C8" s="2">
        <v>30661.919999999998</v>
      </c>
      <c r="D8" s="2">
        <v>-5341.66</v>
      </c>
      <c r="E8" s="2">
        <v>-17.420000000000002</v>
      </c>
    </row>
    <row r="9" spans="1:5" ht="14.25">
      <c r="A9" s="2" t="s">
        <v>28</v>
      </c>
      <c r="B9" s="2" t="s">
        <v>16</v>
      </c>
      <c r="C9" s="2">
        <v>35282.019999999997</v>
      </c>
      <c r="D9" s="2">
        <v>-3427.87</v>
      </c>
      <c r="E9" s="2">
        <v>-9.7200000000000006</v>
      </c>
    </row>
    <row r="10" spans="1:5" ht="14.25">
      <c r="A10" s="2" t="s">
        <v>29</v>
      </c>
      <c r="B10" s="2" t="s">
        <v>19</v>
      </c>
      <c r="C10" s="2">
        <v>89473.73</v>
      </c>
      <c r="D10" s="2">
        <v>-3399.25</v>
      </c>
      <c r="E10" s="2">
        <v>-3.8</v>
      </c>
    </row>
    <row r="11" spans="1:5" ht="14.25">
      <c r="A11" s="2" t="s">
        <v>30</v>
      </c>
      <c r="B11" s="2" t="s">
        <v>16</v>
      </c>
      <c r="C11" s="2">
        <v>17431.14</v>
      </c>
      <c r="D11" s="2">
        <v>-1190.48</v>
      </c>
      <c r="E11" s="2">
        <v>-6.83</v>
      </c>
    </row>
    <row r="12" spans="1:5" ht="14.25">
      <c r="A12" s="2" t="s">
        <v>31</v>
      </c>
      <c r="B12" s="2" t="s">
        <v>17</v>
      </c>
      <c r="C12" s="2">
        <v>225.68</v>
      </c>
      <c r="D12" s="2">
        <v>-74.16</v>
      </c>
      <c r="E12" s="2">
        <v>-32.86</v>
      </c>
    </row>
    <row r="13" spans="1:5" ht="14.25">
      <c r="A13" s="2" t="s">
        <v>32</v>
      </c>
      <c r="B13" s="2" t="s">
        <v>17</v>
      </c>
      <c r="C13" s="2">
        <v>382.14</v>
      </c>
      <c r="D13" s="2">
        <v>-52.72</v>
      </c>
      <c r="E13" s="2">
        <v>-13.8</v>
      </c>
    </row>
    <row r="14" spans="1:5" ht="14.25">
      <c r="A14" s="2" t="s">
        <v>33</v>
      </c>
      <c r="B14" s="2" t="s">
        <v>16</v>
      </c>
      <c r="C14" s="2">
        <v>132.4</v>
      </c>
      <c r="D14" s="2">
        <v>28.54</v>
      </c>
      <c r="E14" s="2">
        <v>21.56</v>
      </c>
    </row>
    <row r="15" spans="1:5" ht="14.25">
      <c r="A15" s="2" t="s">
        <v>34</v>
      </c>
      <c r="B15" s="2" t="s">
        <v>16</v>
      </c>
      <c r="C15" s="2">
        <v>1603.14</v>
      </c>
      <c r="D15" s="2">
        <v>100.2</v>
      </c>
      <c r="E15" s="2">
        <v>6.25</v>
      </c>
    </row>
    <row r="16" spans="1:5" ht="14.25">
      <c r="A16" s="2" t="s">
        <v>35</v>
      </c>
      <c r="B16" s="2" t="s">
        <v>16</v>
      </c>
      <c r="C16" s="2">
        <v>2763.19</v>
      </c>
      <c r="D16" s="2">
        <v>115.67</v>
      </c>
      <c r="E16" s="2">
        <v>4.1900000000000004</v>
      </c>
    </row>
    <row r="17" spans="1:5" ht="14.25">
      <c r="A17" s="2" t="s">
        <v>36</v>
      </c>
      <c r="B17" s="2" t="s">
        <v>18</v>
      </c>
      <c r="C17" s="2">
        <v>1930.78</v>
      </c>
      <c r="D17" s="2">
        <v>158.94999999999999</v>
      </c>
      <c r="E17" s="2">
        <v>8.23</v>
      </c>
    </row>
    <row r="18" spans="1:5" ht="14.25">
      <c r="A18" s="2" t="s">
        <v>37</v>
      </c>
      <c r="B18" s="2" t="s">
        <v>17</v>
      </c>
      <c r="C18" s="2">
        <v>1209.82</v>
      </c>
      <c r="D18" s="2">
        <v>185.93</v>
      </c>
      <c r="E18" s="2">
        <v>15.37</v>
      </c>
    </row>
    <row r="19" spans="1:5" ht="14.25">
      <c r="A19" s="2" t="s">
        <v>38</v>
      </c>
      <c r="B19" s="2" t="s">
        <v>17</v>
      </c>
      <c r="C19" s="2">
        <v>515.20000000000005</v>
      </c>
      <c r="D19" s="2">
        <v>186.65</v>
      </c>
      <c r="E19" s="2">
        <v>36.229999999999997</v>
      </c>
    </row>
    <row r="20" spans="1:5" ht="14.25">
      <c r="A20" s="2" t="s">
        <v>39</v>
      </c>
      <c r="B20" s="2" t="s">
        <v>18</v>
      </c>
      <c r="C20" s="2">
        <v>919.91</v>
      </c>
      <c r="D20" s="2">
        <v>230.14</v>
      </c>
      <c r="E20" s="2">
        <v>25.02</v>
      </c>
    </row>
    <row r="21" spans="1:5" ht="14.25">
      <c r="A21" s="2" t="s">
        <v>40</v>
      </c>
      <c r="B21" s="2" t="s">
        <v>17</v>
      </c>
      <c r="C21" s="2">
        <v>1087.9000000000001</v>
      </c>
      <c r="D21" s="2">
        <v>329.36</v>
      </c>
      <c r="E21" s="2">
        <v>30.27</v>
      </c>
    </row>
    <row r="22" spans="1:5" ht="14.25">
      <c r="A22" s="2" t="s">
        <v>41</v>
      </c>
      <c r="B22" s="2" t="s">
        <v>18</v>
      </c>
      <c r="C22" s="2">
        <v>1315.56</v>
      </c>
      <c r="D22" s="2">
        <v>394.84</v>
      </c>
      <c r="E22" s="2">
        <v>30.01</v>
      </c>
    </row>
    <row r="23" spans="1:5" ht="14.25">
      <c r="A23" s="2" t="s">
        <v>42</v>
      </c>
      <c r="B23" s="2" t="s">
        <v>17</v>
      </c>
      <c r="C23" s="2">
        <v>1270.53</v>
      </c>
      <c r="D23" s="2">
        <v>454.5</v>
      </c>
      <c r="E23" s="2">
        <v>35.770000000000003</v>
      </c>
    </row>
    <row r="24" spans="1:5" ht="14.25">
      <c r="A24" s="2" t="s">
        <v>43</v>
      </c>
      <c r="B24" s="2" t="s">
        <v>16</v>
      </c>
      <c r="C24" s="2">
        <v>4382.49</v>
      </c>
      <c r="D24" s="2">
        <v>826.73</v>
      </c>
      <c r="E24" s="2">
        <v>18.86</v>
      </c>
    </row>
    <row r="25" spans="1:5" ht="14.25">
      <c r="A25" s="2" t="s">
        <v>44</v>
      </c>
      <c r="B25" s="2" t="s">
        <v>18</v>
      </c>
      <c r="C25" s="2">
        <v>2914.31</v>
      </c>
      <c r="D25" s="2">
        <v>836.45</v>
      </c>
      <c r="E25" s="2">
        <v>28.7</v>
      </c>
    </row>
    <row r="26" spans="1:5" ht="14.25">
      <c r="A26" s="2" t="s">
        <v>45</v>
      </c>
      <c r="B26" s="2" t="s">
        <v>17</v>
      </c>
      <c r="C26" s="2">
        <v>2865.02</v>
      </c>
      <c r="D26" s="2">
        <v>1059.5899999999999</v>
      </c>
      <c r="E26" s="2">
        <v>36.979999999999997</v>
      </c>
    </row>
    <row r="27" spans="1:5" ht="14.25">
      <c r="A27" s="2" t="s">
        <v>46</v>
      </c>
      <c r="B27" s="2" t="s">
        <v>17</v>
      </c>
      <c r="C27" s="2">
        <v>3826.96</v>
      </c>
      <c r="D27" s="2">
        <v>1090.94</v>
      </c>
      <c r="E27" s="2">
        <v>28.51</v>
      </c>
    </row>
    <row r="28" spans="1:5" ht="14.25">
      <c r="A28" s="2" t="s">
        <v>47</v>
      </c>
      <c r="B28" s="2" t="s">
        <v>16</v>
      </c>
      <c r="C28" s="2">
        <v>4783.54</v>
      </c>
      <c r="D28" s="2">
        <v>1157.1300000000001</v>
      </c>
      <c r="E28" s="2">
        <v>24.19</v>
      </c>
    </row>
    <row r="29" spans="1:5" ht="14.25">
      <c r="A29" s="2" t="s">
        <v>48</v>
      </c>
      <c r="B29" s="2" t="s">
        <v>18</v>
      </c>
      <c r="C29" s="2">
        <v>4579.76</v>
      </c>
      <c r="D29" s="2">
        <v>1183.81</v>
      </c>
      <c r="E29" s="2">
        <v>25.85</v>
      </c>
    </row>
    <row r="30" spans="1:5" ht="14.25">
      <c r="A30" s="2" t="s">
        <v>49</v>
      </c>
      <c r="B30" s="2" t="s">
        <v>17</v>
      </c>
      <c r="C30" s="2">
        <v>7292.52</v>
      </c>
      <c r="D30" s="2">
        <v>1706.5</v>
      </c>
      <c r="E30" s="2">
        <v>23.4</v>
      </c>
    </row>
    <row r="31" spans="1:5" ht="14.25">
      <c r="A31" s="2" t="s">
        <v>50</v>
      </c>
      <c r="B31" s="2" t="s">
        <v>19</v>
      </c>
      <c r="C31" s="2">
        <v>8481.7099999999991</v>
      </c>
      <c r="D31" s="2">
        <v>1769.08</v>
      </c>
      <c r="E31" s="2">
        <v>20.86</v>
      </c>
    </row>
    <row r="32" spans="1:5" ht="14.25">
      <c r="A32" s="2" t="s">
        <v>51</v>
      </c>
      <c r="B32" s="2" t="s">
        <v>16</v>
      </c>
      <c r="C32" s="2">
        <v>5589.35</v>
      </c>
      <c r="D32" s="2">
        <v>1833.32</v>
      </c>
      <c r="E32" s="2">
        <v>32.799999999999997</v>
      </c>
    </row>
    <row r="33" spans="1:5" ht="14.25">
      <c r="A33" s="2" t="s">
        <v>52</v>
      </c>
      <c r="B33" s="2" t="s">
        <v>17</v>
      </c>
      <c r="C33" s="2">
        <v>7009.01</v>
      </c>
      <c r="D33" s="2">
        <v>1880.4</v>
      </c>
      <c r="E33" s="2">
        <v>26.83</v>
      </c>
    </row>
    <row r="34" spans="1:5" ht="14.25">
      <c r="A34" s="2" t="s">
        <v>53</v>
      </c>
      <c r="B34" s="2" t="s">
        <v>18</v>
      </c>
      <c r="C34" s="2">
        <v>7464.93</v>
      </c>
      <c r="D34" s="2">
        <v>2037.1</v>
      </c>
      <c r="E34" s="2">
        <v>27.29</v>
      </c>
    </row>
    <row r="35" spans="1:5" ht="14.25">
      <c r="A35" s="2" t="s">
        <v>54</v>
      </c>
      <c r="B35" s="2" t="s">
        <v>19</v>
      </c>
      <c r="C35" s="2">
        <v>9217.0300000000007</v>
      </c>
      <c r="D35" s="2">
        <v>2196.09</v>
      </c>
      <c r="E35" s="2">
        <v>23.83</v>
      </c>
    </row>
    <row r="36" spans="1:5" ht="14.25">
      <c r="A36" s="2" t="s">
        <v>55</v>
      </c>
      <c r="B36" s="2" t="s">
        <v>16</v>
      </c>
      <c r="C36" s="2">
        <v>11460.19</v>
      </c>
      <c r="D36" s="2">
        <v>2236.15</v>
      </c>
      <c r="E36" s="2">
        <v>19.510000000000002</v>
      </c>
    </row>
    <row r="37" spans="1:5" ht="14.25">
      <c r="A37" s="2" t="s">
        <v>56</v>
      </c>
      <c r="B37" s="2" t="s">
        <v>17</v>
      </c>
      <c r="C37" s="2">
        <v>8929.3700000000008</v>
      </c>
      <c r="D37" s="2">
        <v>2244.98</v>
      </c>
      <c r="E37" s="2">
        <v>25.14</v>
      </c>
    </row>
    <row r="38" spans="1:5" ht="14.25">
      <c r="A38" s="2" t="s">
        <v>57</v>
      </c>
      <c r="B38" s="2" t="s">
        <v>16</v>
      </c>
      <c r="C38" s="2">
        <v>11220.06</v>
      </c>
      <c r="D38" s="2">
        <v>2546.56</v>
      </c>
      <c r="E38" s="2">
        <v>22.7</v>
      </c>
    </row>
    <row r="39" spans="1:5" ht="14.25">
      <c r="A39" s="2" t="s">
        <v>58</v>
      </c>
      <c r="B39" s="2" t="s">
        <v>19</v>
      </c>
      <c r="C39" s="2">
        <v>10771.34</v>
      </c>
      <c r="D39" s="2">
        <v>3172.98</v>
      </c>
      <c r="E39" s="2">
        <v>29.46</v>
      </c>
    </row>
    <row r="40" spans="1:5" ht="14.25">
      <c r="A40" s="2" t="s">
        <v>59</v>
      </c>
      <c r="B40" s="2" t="s">
        <v>16</v>
      </c>
      <c r="C40" s="2">
        <v>16729.099999999999</v>
      </c>
      <c r="D40" s="2">
        <v>3316.76</v>
      </c>
      <c r="E40" s="2">
        <v>19.829999999999998</v>
      </c>
    </row>
    <row r="41" spans="1:5" ht="14.25">
      <c r="A41" s="2" t="s">
        <v>60</v>
      </c>
      <c r="B41" s="2" t="s">
        <v>17</v>
      </c>
      <c r="C41" s="2">
        <v>13384.36</v>
      </c>
      <c r="D41" s="2">
        <v>3511.44</v>
      </c>
      <c r="E41" s="2">
        <v>26.24</v>
      </c>
    </row>
    <row r="42" spans="1:5" ht="14.25">
      <c r="A42" s="2" t="s">
        <v>61</v>
      </c>
      <c r="B42" s="2" t="s">
        <v>19</v>
      </c>
      <c r="C42" s="2">
        <v>11678.13</v>
      </c>
      <c r="D42" s="2">
        <v>4008.65</v>
      </c>
      <c r="E42" s="2">
        <v>34.33</v>
      </c>
    </row>
    <row r="43" spans="1:5" ht="14.25">
      <c r="A43" s="2" t="s">
        <v>62</v>
      </c>
      <c r="B43" s="2" t="s">
        <v>18</v>
      </c>
      <c r="C43" s="2">
        <v>19683.39</v>
      </c>
      <c r="D43" s="2">
        <v>4853.9799999999996</v>
      </c>
      <c r="E43" s="2">
        <v>24.66</v>
      </c>
    </row>
    <row r="44" spans="1:5" ht="14.25">
      <c r="A44" s="2" t="s">
        <v>63</v>
      </c>
      <c r="B44" s="2" t="s">
        <v>19</v>
      </c>
      <c r="C44" s="2">
        <v>19510.64</v>
      </c>
      <c r="D44" s="2">
        <v>5786.85</v>
      </c>
      <c r="E44" s="2">
        <v>29.66</v>
      </c>
    </row>
    <row r="45" spans="1:5" ht="14.25">
      <c r="A45" s="2" t="s">
        <v>64</v>
      </c>
      <c r="B45" s="2" t="s">
        <v>18</v>
      </c>
      <c r="C45" s="2">
        <v>22205.15</v>
      </c>
      <c r="D45" s="2">
        <v>6436.19</v>
      </c>
      <c r="E45" s="2">
        <v>28.99</v>
      </c>
    </row>
    <row r="46" spans="1:5" ht="14.25">
      <c r="A46" s="2" t="s">
        <v>65</v>
      </c>
      <c r="B46" s="2" t="s">
        <v>17</v>
      </c>
      <c r="C46" s="2">
        <v>28634.44</v>
      </c>
      <c r="D46" s="2">
        <v>6785.55</v>
      </c>
      <c r="E46" s="2">
        <v>23.7</v>
      </c>
    </row>
    <row r="47" spans="1:5" ht="14.25">
      <c r="A47" s="2" t="s">
        <v>66</v>
      </c>
      <c r="B47" s="2" t="s">
        <v>17</v>
      </c>
      <c r="C47" s="2">
        <v>23705.52</v>
      </c>
      <c r="D47" s="2">
        <v>7031.2</v>
      </c>
      <c r="E47" s="2">
        <v>29.66</v>
      </c>
    </row>
    <row r="48" spans="1:5" ht="14.25">
      <c r="A48" s="2" t="s">
        <v>67</v>
      </c>
      <c r="B48" s="2" t="s">
        <v>17</v>
      </c>
      <c r="C48" s="2">
        <v>22627.96</v>
      </c>
      <c r="D48" s="2">
        <v>7285.64</v>
      </c>
      <c r="E48" s="2">
        <v>32.200000000000003</v>
      </c>
    </row>
    <row r="49" spans="1:5" ht="14.25">
      <c r="A49" s="2" t="s">
        <v>68</v>
      </c>
      <c r="B49" s="2" t="s">
        <v>18</v>
      </c>
      <c r="C49" s="2">
        <v>32114.61</v>
      </c>
      <c r="D49" s="2">
        <v>8401.7800000000007</v>
      </c>
      <c r="E49" s="2">
        <v>26.16</v>
      </c>
    </row>
    <row r="50" spans="1:5" ht="14.25">
      <c r="A50" s="2" t="s">
        <v>69</v>
      </c>
      <c r="B50" s="2" t="s">
        <v>17</v>
      </c>
      <c r="C50" s="2">
        <v>35764.32</v>
      </c>
      <c r="D50" s="2">
        <v>9772.91</v>
      </c>
      <c r="E50" s="2">
        <v>27.33</v>
      </c>
    </row>
    <row r="51" spans="1:5" ht="14.25">
      <c r="A51" s="2" t="s">
        <v>70</v>
      </c>
      <c r="B51" s="2" t="s">
        <v>17</v>
      </c>
      <c r="C51" s="2">
        <v>27451.07</v>
      </c>
      <c r="D51" s="2">
        <v>9977.3700000000008</v>
      </c>
      <c r="E51" s="2">
        <v>36.35</v>
      </c>
    </row>
    <row r="52" spans="1:5" ht="14.25">
      <c r="A52" s="2" t="s">
        <v>71</v>
      </c>
      <c r="B52" s="2" t="s">
        <v>18</v>
      </c>
      <c r="C52" s="2">
        <v>29863.15</v>
      </c>
      <c r="D52" s="2">
        <v>10823.22</v>
      </c>
      <c r="E52" s="2">
        <v>36.24</v>
      </c>
    </row>
    <row r="53" spans="1:5" ht="14.25">
      <c r="A53" s="2" t="s">
        <v>72</v>
      </c>
      <c r="B53" s="2" t="s">
        <v>19</v>
      </c>
      <c r="C53" s="2">
        <v>36591.75</v>
      </c>
      <c r="D53" s="2">
        <v>11199.7</v>
      </c>
      <c r="E53" s="2">
        <v>30.61</v>
      </c>
    </row>
    <row r="54" spans="1:5" ht="14.25">
      <c r="A54" s="2" t="s">
        <v>73</v>
      </c>
      <c r="B54" s="2" t="s">
        <v>19</v>
      </c>
      <c r="C54" s="2">
        <v>49095.839999999997</v>
      </c>
      <c r="D54" s="2">
        <v>16250.08</v>
      </c>
      <c r="E54" s="2">
        <v>33.1</v>
      </c>
    </row>
    <row r="55" spans="1:5" ht="14.25">
      <c r="A55" s="2" t="s">
        <v>74</v>
      </c>
      <c r="B55" s="2" t="s">
        <v>18</v>
      </c>
      <c r="C55" s="2">
        <v>53555.360000000001</v>
      </c>
      <c r="D55" s="2">
        <v>18382.97</v>
      </c>
      <c r="E55" s="2">
        <v>34.33</v>
      </c>
    </row>
    <row r="56" spans="1:5" ht="14.25">
      <c r="A56" s="2" t="s">
        <v>75</v>
      </c>
      <c r="B56" s="2" t="s">
        <v>19</v>
      </c>
      <c r="C56" s="2">
        <v>70636.72</v>
      </c>
      <c r="D56" s="2">
        <v>18598</v>
      </c>
      <c r="E56" s="2">
        <v>26.33</v>
      </c>
    </row>
    <row r="57" spans="1:5" ht="14.25">
      <c r="A57" s="2" t="s">
        <v>76</v>
      </c>
      <c r="B57" s="2" t="s">
        <v>18</v>
      </c>
      <c r="C57" s="2">
        <v>76269.61</v>
      </c>
      <c r="D57" s="2">
        <v>24463.15</v>
      </c>
      <c r="E57" s="2">
        <v>32.07</v>
      </c>
    </row>
    <row r="58" spans="1:5" ht="14.25">
      <c r="A58" s="2" t="s">
        <v>77</v>
      </c>
      <c r="B58" s="2" t="s">
        <v>16</v>
      </c>
      <c r="C58" s="2">
        <v>138641.29</v>
      </c>
      <c r="D58" s="2">
        <v>33402.699999999997</v>
      </c>
      <c r="E58" s="2">
        <v>24.09</v>
      </c>
    </row>
    <row r="59" spans="1:5" ht="14.25">
      <c r="A59" s="2" t="s">
        <v>78</v>
      </c>
      <c r="B59" s="2" t="s">
        <v>17</v>
      </c>
      <c r="C59" s="2">
        <v>310876.2</v>
      </c>
      <c r="D59" s="2">
        <v>74038.64</v>
      </c>
      <c r="E59" s="2">
        <v>23.82</v>
      </c>
    </row>
    <row r="60" spans="1:5" ht="14.25">
      <c r="A60" s="2" t="s">
        <v>79</v>
      </c>
      <c r="B60" s="2" t="s">
        <v>16</v>
      </c>
      <c r="C60" s="2">
        <v>457687.68</v>
      </c>
      <c r="D60" s="2">
        <v>76381.600000000006</v>
      </c>
      <c r="E60" s="2">
        <v>16.690000000000001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96CF-A7ED-48C9-AFD7-30E8CC7FCCDA}">
  <dimension ref="A1:E11"/>
  <sheetViews>
    <sheetView workbookViewId="0">
      <selection sqref="A1:E11"/>
    </sheetView>
  </sheetViews>
  <sheetFormatPr defaultRowHeight="13.5"/>
  <cols>
    <col min="1" max="1" width="36" bestFit="1" customWidth="1"/>
    <col min="2" max="2" width="12.75" bestFit="1" customWidth="1"/>
    <col min="3" max="3" width="14" bestFit="1" customWidth="1"/>
    <col min="4" max="4" width="11.5" bestFit="1" customWidth="1"/>
    <col min="5" max="5" width="12.25" bestFit="1" customWidth="1"/>
  </cols>
  <sheetData>
    <row r="1" spans="1:5" ht="15">
      <c r="A1" s="4" t="s">
        <v>80</v>
      </c>
      <c r="B1" s="2" t="s">
        <v>6</v>
      </c>
      <c r="C1" s="2" t="s">
        <v>81</v>
      </c>
      <c r="D1" s="2" t="s">
        <v>0</v>
      </c>
      <c r="E1" s="2" t="s">
        <v>1</v>
      </c>
    </row>
    <row r="2" spans="1:5" ht="15">
      <c r="A2" s="4" t="s">
        <v>82</v>
      </c>
      <c r="B2" s="2" t="s">
        <v>7</v>
      </c>
      <c r="C2" s="2" t="s">
        <v>83</v>
      </c>
      <c r="D2" s="2">
        <v>61599.83</v>
      </c>
      <c r="E2" s="2">
        <v>25199.94</v>
      </c>
    </row>
    <row r="3" spans="1:5" ht="29.25">
      <c r="A3" s="4" t="s">
        <v>84</v>
      </c>
      <c r="B3" s="2" t="s">
        <v>9</v>
      </c>
      <c r="C3" s="2" t="s">
        <v>85</v>
      </c>
      <c r="D3" s="2">
        <v>27453.38</v>
      </c>
      <c r="E3" s="2">
        <v>7753.06</v>
      </c>
    </row>
    <row r="4" spans="1:5" ht="29.25">
      <c r="A4" s="4" t="s">
        <v>86</v>
      </c>
      <c r="B4" s="2" t="s">
        <v>7</v>
      </c>
      <c r="C4" s="2" t="s">
        <v>87</v>
      </c>
      <c r="D4" s="2">
        <v>22638.48</v>
      </c>
      <c r="E4" s="2">
        <v>-1811.08</v>
      </c>
    </row>
    <row r="5" spans="1:5" ht="29.25">
      <c r="A5" s="4" t="s">
        <v>88</v>
      </c>
      <c r="B5" s="2" t="s">
        <v>8</v>
      </c>
      <c r="C5" s="2" t="s">
        <v>89</v>
      </c>
      <c r="D5" s="2">
        <v>21870.57</v>
      </c>
      <c r="E5" s="2">
        <v>0</v>
      </c>
    </row>
    <row r="6" spans="1:5" ht="29.25">
      <c r="A6" s="4" t="s">
        <v>90</v>
      </c>
      <c r="B6" s="2" t="s">
        <v>9</v>
      </c>
      <c r="C6" s="2" t="s">
        <v>85</v>
      </c>
      <c r="D6" s="2">
        <v>19823.48</v>
      </c>
      <c r="E6" s="2">
        <v>2233.5</v>
      </c>
    </row>
    <row r="7" spans="1:5" ht="29.25">
      <c r="A7" s="4" t="s">
        <v>91</v>
      </c>
      <c r="B7" s="2" t="s">
        <v>9</v>
      </c>
      <c r="C7" s="2" t="s">
        <v>85</v>
      </c>
      <c r="D7" s="2">
        <v>19024.5</v>
      </c>
      <c r="E7" s="2">
        <v>760.98</v>
      </c>
    </row>
    <row r="8" spans="1:5" ht="15">
      <c r="A8" s="4" t="s">
        <v>92</v>
      </c>
      <c r="B8" s="2" t="s">
        <v>7</v>
      </c>
      <c r="C8" s="2" t="s">
        <v>83</v>
      </c>
      <c r="D8" s="2">
        <v>18839.68</v>
      </c>
      <c r="E8" s="2">
        <v>6983.89</v>
      </c>
    </row>
    <row r="9" spans="1:5" ht="29.25">
      <c r="A9" s="4" t="s">
        <v>93</v>
      </c>
      <c r="B9" s="2" t="s">
        <v>7</v>
      </c>
      <c r="C9" s="2" t="s">
        <v>87</v>
      </c>
      <c r="D9" s="2">
        <v>18374.900000000001</v>
      </c>
      <c r="E9" s="2">
        <v>4094.98</v>
      </c>
    </row>
    <row r="10" spans="1:5" ht="29.25">
      <c r="A10" s="4" t="s">
        <v>94</v>
      </c>
      <c r="B10" s="2" t="s">
        <v>9</v>
      </c>
      <c r="C10" s="2" t="s">
        <v>85</v>
      </c>
      <c r="D10" s="2">
        <v>17965.07</v>
      </c>
      <c r="E10" s="2">
        <v>-1878.17</v>
      </c>
    </row>
    <row r="11" spans="1:5" ht="29.25">
      <c r="A11" s="4" t="s">
        <v>95</v>
      </c>
      <c r="B11" s="2" t="s">
        <v>9</v>
      </c>
      <c r="C11" s="2" t="s">
        <v>96</v>
      </c>
      <c r="D11" s="2">
        <v>17030.310000000001</v>
      </c>
      <c r="E11" s="2">
        <v>-262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48A9-FE89-4111-82AF-B3A407B10344}">
  <dimension ref="A1:F21"/>
  <sheetViews>
    <sheetView workbookViewId="0">
      <selection sqref="A1:F21"/>
    </sheetView>
  </sheetViews>
  <sheetFormatPr defaultRowHeight="13.5"/>
  <cols>
    <col min="1" max="1" width="36" bestFit="1" customWidth="1"/>
    <col min="2" max="2" width="12.75" bestFit="1" customWidth="1"/>
    <col min="3" max="3" width="14" bestFit="1" customWidth="1"/>
    <col min="4" max="4" width="11.5" bestFit="1" customWidth="1"/>
    <col min="5" max="5" width="12.25" bestFit="1" customWidth="1"/>
    <col min="6" max="6" width="24.75" bestFit="1" customWidth="1"/>
  </cols>
  <sheetData>
    <row r="1" spans="1:6" ht="15">
      <c r="A1" s="4" t="s">
        <v>80</v>
      </c>
      <c r="B1" s="2" t="s">
        <v>6</v>
      </c>
      <c r="C1" s="2" t="s">
        <v>81</v>
      </c>
      <c r="D1" s="2" t="s">
        <v>0</v>
      </c>
      <c r="E1" s="2" t="s">
        <v>1</v>
      </c>
      <c r="F1" s="2" t="s">
        <v>97</v>
      </c>
    </row>
    <row r="2" spans="1:6" ht="15">
      <c r="A2" s="4" t="s">
        <v>98</v>
      </c>
      <c r="B2" s="2" t="s">
        <v>7</v>
      </c>
      <c r="C2" s="2" t="s">
        <v>87</v>
      </c>
      <c r="D2" s="2">
        <v>11099.96</v>
      </c>
      <c r="E2" s="2">
        <v>-8879.9699999999993</v>
      </c>
      <c r="F2" s="2">
        <v>53.33</v>
      </c>
    </row>
    <row r="3" spans="1:6" ht="29.25">
      <c r="A3" s="4" t="s">
        <v>99</v>
      </c>
      <c r="B3" s="2" t="s">
        <v>7</v>
      </c>
      <c r="C3" s="2" t="s">
        <v>87</v>
      </c>
      <c r="D3" s="2">
        <v>16829.900000000001</v>
      </c>
      <c r="E3" s="2">
        <v>-4589.97</v>
      </c>
      <c r="F3" s="2">
        <v>40</v>
      </c>
    </row>
    <row r="4" spans="1:6" ht="15">
      <c r="A4" s="4" t="s">
        <v>100</v>
      </c>
      <c r="B4" s="2" t="s">
        <v>7</v>
      </c>
      <c r="C4" s="2" t="s">
        <v>87</v>
      </c>
      <c r="D4" s="2">
        <v>7999.98</v>
      </c>
      <c r="E4" s="2">
        <v>-3839.99</v>
      </c>
      <c r="F4" s="2">
        <v>50</v>
      </c>
    </row>
    <row r="5" spans="1:6" ht="29.25">
      <c r="A5" s="4" t="s">
        <v>101</v>
      </c>
      <c r="B5" s="2" t="s">
        <v>8</v>
      </c>
      <c r="C5" s="2" t="s">
        <v>102</v>
      </c>
      <c r="D5" s="2">
        <v>9917.64</v>
      </c>
      <c r="E5" s="2">
        <v>-2876.11</v>
      </c>
      <c r="F5" s="2">
        <v>28</v>
      </c>
    </row>
    <row r="6" spans="1:6" ht="29.25">
      <c r="A6" s="4" t="s">
        <v>103</v>
      </c>
      <c r="B6" s="2" t="s">
        <v>8</v>
      </c>
      <c r="C6" s="2" t="s">
        <v>102</v>
      </c>
      <c r="D6" s="2">
        <v>9544.7199999999993</v>
      </c>
      <c r="E6" s="2">
        <v>-1934.4</v>
      </c>
      <c r="F6" s="2">
        <v>35</v>
      </c>
    </row>
    <row r="7" spans="1:6" ht="29.25">
      <c r="A7" s="4" t="s">
        <v>94</v>
      </c>
      <c r="B7" s="2" t="s">
        <v>9</v>
      </c>
      <c r="C7" s="2" t="s">
        <v>85</v>
      </c>
      <c r="D7" s="2">
        <v>17965.07</v>
      </c>
      <c r="E7" s="2">
        <v>-1878.17</v>
      </c>
      <c r="F7" s="2">
        <v>45</v>
      </c>
    </row>
    <row r="8" spans="1:6" ht="29.25">
      <c r="A8" s="4" t="s">
        <v>86</v>
      </c>
      <c r="B8" s="2" t="s">
        <v>7</v>
      </c>
      <c r="C8" s="2" t="s">
        <v>87</v>
      </c>
      <c r="D8" s="2">
        <v>22638.48</v>
      </c>
      <c r="E8" s="2">
        <v>-1811.08</v>
      </c>
      <c r="F8" s="2">
        <v>50</v>
      </c>
    </row>
    <row r="9" spans="1:6" ht="29.25">
      <c r="A9" s="4" t="s">
        <v>104</v>
      </c>
      <c r="B9" s="2" t="s">
        <v>9</v>
      </c>
      <c r="C9" s="2" t="s">
        <v>96</v>
      </c>
      <c r="D9" s="2">
        <v>16656.21</v>
      </c>
      <c r="E9" s="2">
        <v>-1299.19</v>
      </c>
      <c r="F9" s="2">
        <v>10</v>
      </c>
    </row>
    <row r="10" spans="1:6" ht="15">
      <c r="A10" s="4" t="s">
        <v>105</v>
      </c>
      <c r="B10" s="2" t="s">
        <v>8</v>
      </c>
      <c r="C10" s="2" t="s">
        <v>102</v>
      </c>
      <c r="D10" s="2">
        <v>6518.76</v>
      </c>
      <c r="E10" s="2">
        <v>-1201.06</v>
      </c>
      <c r="F10" s="2">
        <v>20</v>
      </c>
    </row>
    <row r="11" spans="1:6" ht="29.25">
      <c r="A11" s="4" t="s">
        <v>106</v>
      </c>
      <c r="B11" s="2" t="s">
        <v>8</v>
      </c>
      <c r="C11" s="2" t="s">
        <v>102</v>
      </c>
      <c r="D11" s="2">
        <v>1706.26</v>
      </c>
      <c r="E11" s="2">
        <v>-1148.44</v>
      </c>
      <c r="F11" s="2">
        <v>48.33</v>
      </c>
    </row>
    <row r="12" spans="1:6" ht="29.25">
      <c r="A12" s="4" t="s">
        <v>107</v>
      </c>
      <c r="B12" s="2" t="s">
        <v>8</v>
      </c>
      <c r="C12" s="2" t="s">
        <v>102</v>
      </c>
      <c r="D12" s="2">
        <v>4446.18</v>
      </c>
      <c r="E12" s="2">
        <v>-1147.4100000000001</v>
      </c>
      <c r="F12" s="2">
        <v>30</v>
      </c>
    </row>
    <row r="13" spans="1:6" ht="29.25">
      <c r="A13" s="4" t="s">
        <v>108</v>
      </c>
      <c r="B13" s="2" t="s">
        <v>7</v>
      </c>
      <c r="C13" s="2" t="s">
        <v>87</v>
      </c>
      <c r="D13" s="2">
        <v>1212.71</v>
      </c>
      <c r="E13" s="2">
        <v>-1057.23</v>
      </c>
      <c r="F13" s="2">
        <v>55</v>
      </c>
    </row>
    <row r="14" spans="1:6" ht="29.25">
      <c r="A14" s="4" t="s">
        <v>109</v>
      </c>
      <c r="B14" s="2" t="s">
        <v>8</v>
      </c>
      <c r="C14" s="2" t="s">
        <v>89</v>
      </c>
      <c r="D14" s="2">
        <v>5282.42</v>
      </c>
      <c r="E14" s="2">
        <v>-989.04</v>
      </c>
      <c r="F14" s="2">
        <v>21.67</v>
      </c>
    </row>
    <row r="15" spans="1:6" ht="15">
      <c r="A15" s="4" t="s">
        <v>110</v>
      </c>
      <c r="B15" s="2" t="s">
        <v>8</v>
      </c>
      <c r="C15" s="2" t="s">
        <v>111</v>
      </c>
      <c r="D15" s="2">
        <v>2740.2</v>
      </c>
      <c r="E15" s="2">
        <v>-975.12</v>
      </c>
      <c r="F15" s="2">
        <v>42.14</v>
      </c>
    </row>
    <row r="16" spans="1:6" ht="29.25">
      <c r="A16" s="4" t="s">
        <v>112</v>
      </c>
      <c r="B16" s="2" t="s">
        <v>8</v>
      </c>
      <c r="C16" s="2" t="s">
        <v>102</v>
      </c>
      <c r="D16" s="2">
        <v>5634.9</v>
      </c>
      <c r="E16" s="2">
        <v>-964.2</v>
      </c>
      <c r="F16" s="2">
        <v>22.5</v>
      </c>
    </row>
    <row r="17" spans="1:6" ht="29.25">
      <c r="A17" s="4" t="s">
        <v>113</v>
      </c>
      <c r="B17" s="2" t="s">
        <v>7</v>
      </c>
      <c r="C17" s="2" t="s">
        <v>87</v>
      </c>
      <c r="D17" s="2">
        <v>703.71</v>
      </c>
      <c r="E17" s="2">
        <v>-938.28</v>
      </c>
      <c r="F17" s="2">
        <v>70</v>
      </c>
    </row>
    <row r="18" spans="1:6" ht="29.25">
      <c r="A18" s="4" t="s">
        <v>114</v>
      </c>
      <c r="B18" s="2" t="s">
        <v>9</v>
      </c>
      <c r="C18" s="2" t="s">
        <v>115</v>
      </c>
      <c r="D18" s="2">
        <v>2946.19</v>
      </c>
      <c r="E18" s="2">
        <v>-872.07</v>
      </c>
      <c r="F18" s="2">
        <v>52</v>
      </c>
    </row>
    <row r="19" spans="1:6" ht="15">
      <c r="A19" s="4" t="s">
        <v>116</v>
      </c>
      <c r="B19" s="2" t="s">
        <v>8</v>
      </c>
      <c r="C19" s="2" t="s">
        <v>102</v>
      </c>
      <c r="D19" s="2">
        <v>6942.07</v>
      </c>
      <c r="E19" s="2">
        <v>-856.02</v>
      </c>
      <c r="F19" s="2">
        <v>27.5</v>
      </c>
    </row>
    <row r="20" spans="1:6" ht="15">
      <c r="A20" s="4" t="s">
        <v>117</v>
      </c>
      <c r="B20" s="2" t="s">
        <v>9</v>
      </c>
      <c r="C20" s="2" t="s">
        <v>118</v>
      </c>
      <c r="D20" s="2">
        <v>9158.2900000000009</v>
      </c>
      <c r="E20" s="2">
        <v>-825.76</v>
      </c>
      <c r="F20" s="2">
        <v>7.5</v>
      </c>
    </row>
    <row r="21" spans="1:6" ht="15">
      <c r="A21" s="4" t="s">
        <v>119</v>
      </c>
      <c r="B21" s="2" t="s">
        <v>8</v>
      </c>
      <c r="C21" s="2" t="s">
        <v>102</v>
      </c>
      <c r="D21" s="2">
        <v>2241.87</v>
      </c>
      <c r="E21" s="2">
        <v>-795.98</v>
      </c>
      <c r="F21" s="2">
        <v>37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A237-DFAA-49F7-878E-D4F72BD2C9BB}">
  <dimension ref="A1:M12"/>
  <sheetViews>
    <sheetView showGridLines="0" tabSelected="1" topLeftCell="E1" workbookViewId="0">
      <selection activeCell="A2" sqref="A2:M2"/>
    </sheetView>
  </sheetViews>
  <sheetFormatPr defaultRowHeight="13.5"/>
  <cols>
    <col min="1" max="1" width="30" customWidth="1"/>
    <col min="2" max="2" width="19.5" customWidth="1"/>
    <col min="4" max="4" width="21.875" customWidth="1"/>
    <col min="5" max="5" width="16" customWidth="1"/>
  </cols>
  <sheetData>
    <row r="1" spans="1:13" ht="26.25">
      <c r="A1" s="14" t="s">
        <v>120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7" customHeight="1">
      <c r="A2" s="6" t="s">
        <v>121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spans="1:13" ht="26.25">
      <c r="A4" s="7" t="s">
        <v>122</v>
      </c>
      <c r="B4" s="9">
        <f>'KPI Summary'!A2</f>
        <v>2326534.52</v>
      </c>
      <c r="C4" s="5"/>
      <c r="D4" s="7" t="s">
        <v>123</v>
      </c>
      <c r="E4" s="13">
        <f>'KPI Summary'!B2</f>
        <v>292297.57</v>
      </c>
    </row>
    <row r="5" spans="1:13" ht="18.75">
      <c r="A5" s="7"/>
      <c r="B5" s="10"/>
      <c r="C5" s="5"/>
      <c r="D5" s="7"/>
      <c r="E5" s="7"/>
    </row>
    <row r="6" spans="1:13" ht="18.75">
      <c r="A6" s="5"/>
      <c r="B6" s="5"/>
      <c r="C6" s="5"/>
      <c r="D6" s="5"/>
      <c r="E6" s="5"/>
    </row>
    <row r="7" spans="1:13" ht="26.25">
      <c r="A7" s="7" t="s">
        <v>124</v>
      </c>
      <c r="B7" s="8">
        <f>'KPI Summary'!C2/100</f>
        <v>0.12560000000000002</v>
      </c>
      <c r="C7" s="5"/>
      <c r="D7" s="7" t="s">
        <v>125</v>
      </c>
      <c r="E7" s="11">
        <f>'KPI Summary'!D2</f>
        <v>5111</v>
      </c>
    </row>
    <row r="8" spans="1:13" ht="18.75">
      <c r="A8" s="7"/>
      <c r="B8" s="7"/>
      <c r="C8" s="5"/>
      <c r="D8" s="7"/>
      <c r="E8" s="7"/>
    </row>
    <row r="9" spans="1:13" ht="18.75">
      <c r="A9" s="5"/>
      <c r="B9" s="5"/>
      <c r="C9" s="5"/>
      <c r="D9" s="5"/>
      <c r="E9" s="5"/>
    </row>
    <row r="10" spans="1:13" ht="26.25">
      <c r="A10" s="7" t="s">
        <v>126</v>
      </c>
      <c r="B10" s="11">
        <f>'KPI Summary'!E2</f>
        <v>804</v>
      </c>
      <c r="C10" s="5"/>
      <c r="D10" s="7" t="s">
        <v>127</v>
      </c>
      <c r="E10" s="9">
        <f>'KPI Summary'!F2</f>
        <v>455.2</v>
      </c>
    </row>
    <row r="11" spans="1:13" ht="19.5" customHeight="1">
      <c r="A11" s="12"/>
      <c r="B11" s="12"/>
      <c r="D11" s="12"/>
      <c r="E11" s="12"/>
    </row>
    <row r="12" spans="1:13" ht="19.5" customHeight="1"/>
  </sheetData>
  <mergeCells count="2">
    <mergeCell ref="A1:M1"/>
    <mergeCell ref="A2: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2026-06-29T20:21:58Z</dcterms:created>
  <dcterms:modified xsi:type="dcterms:W3CDTF">2026-06-29T22:03:55Z</dcterms:modified>
  <cp:category/>
  <cp:contentStatus/>
</cp:coreProperties>
</file>